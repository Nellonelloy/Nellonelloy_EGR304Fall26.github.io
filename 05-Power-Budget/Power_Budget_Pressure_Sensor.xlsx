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1bd6d4f08c41ca" /></Relationships>
</file>

<file path=xl/workbook.xml><?xml version="1.0" encoding="utf-8"?>
<x:workbook xmlns:x="http://schemas.openxmlformats.org/spreadsheetml/2006/main">
  <x:sheets>
    <x:sheet xmlns:r="http://schemas.openxmlformats.org/officeDocument/2006/relationships" name="Power Budget" sheetId="1" r:id="Rc8fbc600f0ed45a1"/>
    <x:sheet xmlns:r="http://schemas.openxmlformats.org/officeDocument/2006/relationships" name="Instructions &amp; Sources" sheetId="2" r:id="R0adaf300cc0a47f4"/>
  </x:sheets>
</x:workbook>
</file>

<file path=xl/comments1.xml><?xml version="1.0" encoding="utf-8"?>
<x:comments xmlns:x="http://schemas.openxmlformats.org/spreadsheetml/2006/main">
  <x:authors>
    <x:author/>
  </x:authors>
  <x:commentList>
    <x:comment ref="F8" authorId="0">
      <x:text>
        <x:r>
          <x:t>For inductive loads (e.g., motors, solenoids) this is often called "stall current" on the data sheet</x:t>
        </x:r>
      </x:text>
    </x:comment>
  </x:commentList>
</x:comments>
</file>

<file path=xl/sharedStrings.xml><?xml version="1.0" encoding="utf-8"?>
<x:sst xmlns:x="http://schemas.openxmlformats.org/spreadsheetml/2006/main">
  <x:si>
    <x:t xml:space="preserve">Team Number:</x:t>
  </x:si>
  <x:si>
    <x:t xml:space="preserve">Project Name:</x:t>
  </x:si>
  <x:si>
    <x:t xml:space="preserve">Team Member Names:</x:t>
  </x:si>
  <x:si>
    <x:t xml:space="preserve">Brendan Laskowski</x:t>
  </x:si>
  <x:si>
    <x:t xml:space="preserve">Version:</x:t>
  </x:si>
  <x:si>
    <x:t xml:space="preserve">A. List ALL major components (active devices, integrated circuits, etc.) except for power sources, voltage regulators, resistors, capacitors, or passive elements</x:t>
  </x:si>
  <x:si>
    <x:t xml:space="preserve">All Major Components</x:t>
  </x:si>
  <x:si>
    <x:t xml:space="preserve">Component Name</x:t>
  </x:si>
  <x:si>
    <x:t xml:space="preserve">Part Number</x:t>
  </x:si>
  <x:si>
    <x:t xml:space="preserve">Supply
Voltage
Range</x:t>
  </x:si>
  <x:si>
    <x:t xml:space="preserve">#</x:t>
  </x:si>
  <x:si>
    <x:t xml:space="preserve">Absolute
Maximum
Current (mA)</x:t>
  </x:si>
  <x:si>
    <x:t xml:space="preserve">Total
Current
(mA)</x:t>
  </x:si>
  <x:si>
    <x:t xml:space="preserve">Unit</x:t>
  </x:si>
  <x:si>
    <x:t xml:space="preserve">mA</x:t>
  </x:si>
  <x:si>
    <x:t xml:space="preserve">B. Assign each major component above to ONE power rail below. Try to minimize the number of different power rails in the design. 
Add additional power rails or change the power rail voltages if needed.</x:t>
  </x:si>
  <x:si>
    <x:t xml:space="preserve">Subtotal </x:t>
  </x:si>
  <x:si>
    <x:t xml:space="preserve">Safety Margin</x:t>
  </x:si>
  <x:si>
    <x:t xml:space="preserve">Total Current Required on +12V Rail</x:t>
  </x:si>
  <x:si>
    <x:t xml:space="preserve">c1. Regulator or Source Choice</x:t>
  </x:si>
  <x:si>
    <x:t xml:space="preserve">Total Remaining Current Available on +12V Rail</x:t>
  </x:si>
  <x:si>
    <x:t xml:space="preserve"> +5V Power Rail</x:t>
  </x:si>
  <x:si>
    <x:t xml:space="preserve">Total Current Required on +5V Rail</x:t>
  </x:si>
  <x:si>
    <x:t xml:space="preserve">c2. Regulator or Source Choice</x:t>
  </x:si>
  <x:si>
    <x:t xml:space="preserve">Total Remaining Current Available on +5V Rail</x:t>
  </x:si>
  <x:si>
    <x:t xml:space="preserve">Total Current Required on -5V Rail</x:t>
  </x:si>
  <x:si>
    <x:t xml:space="preserve">c3. Regulator or Source Choice</x:t>
  </x:si>
  <x:si>
    <x:t xml:space="preserve">Total Remaining Current Available on -5V Rail</x:t>
  </x:si>
  <x:si>
    <x:t xml:space="preserve">Total Current Required on +3.3V Rail</x:t>
  </x:si>
  <x:si>
    <x:t xml:space="preserve">c4. Regulator or Source Choice</x:t>
  </x:si>
  <x:si>
    <x:t xml:space="preserve">Total Remaining Current Available on 3.3V Rail</x:t>
  </x:si>
  <x:si>
    <x:t xml:space="preserve">C. For each power rail above, select a specific voltage regulator using the same process as for major component selection. Confirm that the Total Remaining Current Available on each rail above is not negative.</x:t>
  </x:si>
  <x:si>
    <x:t xml:space="preserve">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x:t>
  </x:si>
  <x:si>
    <x:t xml:space="preserve">External Power Source 1</x:t>
  </x:si>
  <x:si>
    <x:t xml:space="preserve">Output Voltage</x:t>
  </x:si>
  <x:si>
    <x:t xml:space="preserve">Power Source 1 Selection</x:t>
  </x:si>
  <x:si>
    <x:t xml:space="preserve">Power Rails Connected to External Power Source 1</x:t>
  </x:si>
  <x:si>
    <x:t xml:space="preserve">Total Remaining Current Available on External Power Source 1</x:t>
  </x:si>
  <x:si>
    <x:t xml:space="preserve">Power Source 2 Selection</x:t>
  </x:si>
  <x:si>
    <x:t xml:space="preserve">Power Rails Connected to External Power Source 2</x:t>
  </x:si>
  <x:si>
    <x:t xml:space="preserve">Total Remaining Current Available on External Power Source 2</x:t>
  </x:si>
  <x:si>
    <x:t xml:space="preserve">Battery Life</x:t>
  </x:si>
  <x:si>
    <x:t xml:space="preserve">hours</x:t>
  </x:si>
  <x:si>
    <x:t xml:space="preserve">Notes</x:t>
  </x:si>
  <x:si>
    <x:t xml:space="preserve">External Supply Voltage should be determined by the dropout voltage for highest-voltage regulator (e.g., +14V for a +12V regulator).</x:t>
  </x:si>
  <x:si>
    <x:t xml:space="preserve">If you have multiple units in your design (e.g., a base unit and remote unit) then you need a separate power budget for each unit</x:t>
  </x:si>
</x:sst>
</file>

<file path=xl/styles.xml><?xml version="1.0" encoding="utf-8"?>
<x:styleSheet xmlns:x="http://schemas.openxmlformats.org/spreadsheetml/2006/main">
  <x:numFmts count="2">
    <x:numFmt numFmtId="200" formatCode="0.000"/>
    <x:numFmt numFmtId="201" formatCode="0.0"/>
  </x:numFmts>
  <x:fonts count="13">
    <x:font>
      <x:sz val="12"/>
      <x:color rgb="FF000000"/>
      <x:name val="Calibri"/>
    </x:font>
    <x:font>
      <x:b/>
      <x:sz val="24"/>
      <x:color rgb="FF000000"/>
      <x:name val="Calibri"/>
    </x:font>
    <x:font>
      <x:b/>
      <x:sz val="12"/>
      <x:color rgb="FF000000"/>
      <x:name val="Calibri"/>
    </x:font>
    <x:font>
      <x:sz val="12"/>
      <x:name val="Calibri"/>
    </x:font>
    <x:font>
      <x:b/>
      <x:sz val="12"/>
      <x:color rgb="FF000000"/>
      <x:name val="Arial"/>
    </x:font>
    <x:font>
      <x:b/>
      <x:i/>
      <x:sz val="12"/>
      <x:color rgb="FF000000"/>
      <x:name val="Arial"/>
    </x:font>
    <x:font>
      <x:sz val="12"/>
      <x:color rgb="FF000000"/>
      <x:name val="Arial"/>
    </x:font>
    <x:font>
      <x:b/>
      <x:i/>
      <x:sz val="12"/>
      <x:color rgb="FF000000"/>
      <x:name val="Calibri"/>
    </x:font>
    <x:font>
      <x:sz val="12"/>
      <x:name val="Arial"/>
    </x:font>
    <x:font>
      <x:sz val="12"/>
      <x:color rgb="FF000000"/>
      <x:name val="Arial"/>
    </x:font>
    <x:font>
      <x:sz val="12"/>
      <x:color rgb="FF000000"/>
      <x:name val="Calibri"/>
    </x:font>
    <x:font>
      <x:b/>
      <x:sz val="12"/>
      <x:color rgb="FFFFFFFF"/>
      <x:name val="Calibri"/>
    </x:font>
    <x:font>
      <x:sz val="12"/>
      <x:color rgb="FFFFFFFF"/>
      <x:name val="Calibri"/>
    </x:font>
  </x:fonts>
  <x:fills count="16">
    <x:fill>
      <x:patternFill patternType="none"/>
    </x:fill>
    <x:fill>
      <x:patternFill patternType="gray125"/>
    </x:fill>
    <x:fill>
      <x:patternFill patternType="solid">
        <x:fgColor rgb="FFFFFF00"/>
      </x:patternFill>
    </x:fill>
    <x:fill>
      <x:patternFill patternType="solid">
        <x:fgColor rgb="FFEEECE1"/>
      </x:patternFill>
    </x:fill>
    <x:fill>
      <x:patternFill patternType="solid">
        <x:fgColor rgb="FFFFFFFF"/>
      </x:patternFill>
    </x:fill>
    <x:fill>
      <x:patternFill patternType="solid">
        <x:fgColor rgb="FFFFF1CC"/>
      </x:patternFill>
    </x:fill>
    <x:fill>
      <x:patternFill patternType="solid">
        <x:fgColor rgb="FFD9F5E5"/>
      </x:patternFill>
    </x:fill>
    <x:fill>
      <x:patternFill patternType="solid">
        <x:fgColor rgb="FF17365D"/>
      </x:patternFill>
    </x:fill>
    <x:fill>
      <x:patternFill patternType="solid">
        <x:fgColor rgb="FFDDEAF7"/>
      </x:patternFill>
    </x:fill>
    <x:fill>
      <x:patternFill patternType="solid">
        <x:fgColor rgb="FF176C77"/>
      </x:patternFill>
    </x:fill>
    <x:fill>
      <x:patternFill patternType="solid">
        <x:fgColor rgb="FFFFF2CC"/>
      </x:patternFill>
    </x:fill>
    <x:fill>
      <x:patternFill patternType="solid">
        <x:fgColor rgb="FFE2F0D9"/>
      </x:patternFill>
    </x:fill>
    <x:fill>
      <x:patternFill patternType="solid">
        <x:fgColor rgb="FF164E63"/>
      </x:patternFill>
    </x:fill>
    <x:fill>
      <x:patternFill patternType="solid">
        <x:fgColor rgb="FF17365D"/>
      </x:patternFill>
    </x:fill>
    <x:fill>
      <x:patternFill patternType="solid">
        <x:fgColor rgb="FFFFF2CC"/>
      </x:patternFill>
    </x:fill>
    <x:fill>
      <x:patternFill patternType="solid">
        <x:fgColor rgb="FFFFF0B3"/>
      </x:patternFill>
    </x:fill>
  </x:fills>
  <x:borders count="31">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bottom style="thin">
        <x:color rgb="FF000000"/>
      </x:bottom>
    </x:border>
    <x:border>
      <x:left style="thin">
        <x:color rgb="FF000000"/>
      </x:left>
    </x:border>
    <x:border>
      <x:left style="thin">
        <x:color rgb="FF000000"/>
      </x:left>
      <x:right style="thin">
        <x:color rgb="FF000000"/>
      </x:right>
    </x:border>
    <x:border>
      <x:left style="thin">
        <x:color rgb="FF000000"/>
      </x:left>
      <x:top style="thin">
        <x:color rgb="FF000000"/>
      </x:top>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right style="thin">
        <x:color rgb="FF000000"/>
      </x:right>
    </x:border>
    <x:border>
      <x:top style="thin">
        <x:color rgb="FF000000"/>
      </x:top>
      <x:bottom style="thin">
        <x:color rgb="FF000000"/>
      </x:bottom>
    </x:border>
    <x:border/>
    <x:border>
      <x:top style="thin">
        <x:color rgb="FF000000"/>
      </x:top>
    </x:border>
    <x:border>
      <x:top style="thin">
        <x:color rgb="FF000000"/>
      </x:top>
    </x:border>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bottom style="thin">
        <x:color rgb="FF000000"/>
      </x:bottom>
    </x:border>
    <x:border>
      <x:left style="thin">
        <x:color rgb="FF000000"/>
      </x:left>
    </x:border>
    <x:border>
      <x:left style="thin">
        <x:color rgb="FF000000"/>
      </x:left>
      <x:right style="thin">
        <x:color rgb="FF000000"/>
      </x:right>
    </x:border>
    <x:border>
      <x:left style="thin">
        <x:color rgb="FF000000"/>
      </x:left>
      <x:bottom style="thin">
        <x:color rgb="FF000000"/>
      </x:bottom>
    </x:border>
    <x:border>
      <x:right style="thin">
        <x:color rgb="FF000000"/>
      </x:right>
    </x:border>
    <x:border>
      <x:top style="thin">
        <x:color rgb="FF000000"/>
      </x:top>
    </x:border>
    <x:border>
      <x:right style="thin">
        <x:color rgb="FF000000"/>
      </x:right>
      <x:top style="thin">
        <x:color rgb="FF000000"/>
      </x:top>
      <x:bottom style="thin">
        <x:color rgb="FF000000"/>
      </x:bottom>
    </x:border>
    <x:border>
      <x:bottom style="thin">
        <x:color rgb="FF000000"/>
      </x:bottom>
    </x:border>
    <x:border>
      <x:right style="thin">
        <x:color rgb="FF000000"/>
      </x:right>
      <x:bottom style="thin">
        <x:color rgb="FF000000"/>
      </x:bottom>
    </x:border>
  </x:borders>
  <x:cellStyleXfs count="1">
    <x:xf numFmtId="0" fontId="0" fillId="0" borderId="0"/>
  </x:cellStyleXfs>
  <x:cellXfs count="259">
    <x:xf numFmtId="0" fontId="0" fillId="0" borderId="0" xfId="0"/>
    <x:xf numFmtId="0" fontId="2" fillId="0" borderId="1" xfId="0" applyFont="1" applyBorder="1"/>
    <x:xf numFmtId="0" fontId="3" fillId="0" borderId="1" xfId="0" applyFont="1" applyBorder="1"/>
    <x:xf numFmtId="0" fontId="2" fillId="0" borderId="0" xfId="0" applyFont="1" applyAlignment="1">
      <x:alignment horizontal="center"/>
    </x:xf>
    <x:xf numFmtId="0" fontId="4" fillId="0" borderId="1" xfId="0" applyFont="1" applyBorder="1"/>
    <x:xf numFmtId="0" fontId="2" fillId="0" borderId="0" xfId="0" applyFont="1"/>
    <x:xf numFmtId="0" fontId="4" fillId="0" borderId="0" xfId="0" applyFont="1"/>
    <x:xf numFmtId="0" fontId="4" fillId="3" borderId="2" xfId="0" applyFont="1" applyFill="1" applyBorder="1" applyAlignment="1">
      <x:alignment horizontal="center"/>
    </x:xf>
    <x:xf numFmtId="0" fontId="2" fillId="3" borderId="4" xfId="0" applyFont="1" applyFill="1" applyBorder="1" applyAlignment="1">
      <x:alignment horizontal="center"/>
    </x:xf>
    <x:xf numFmtId="0" fontId="4" fillId="3" borderId="4" xfId="0" applyFont="1" applyFill="1" applyBorder="1" applyAlignment="1">
      <x:alignment horizontal="center"/>
    </x:xf>
    <x:xf numFmtId="0" fontId="4" fillId="3" borderId="5" xfId="0" applyFont="1" applyFill="1" applyBorder="1" applyAlignment="1">
      <x:alignment horizontal="center"/>
    </x:xf>
    <x:xf numFmtId="0" fontId="4" fillId="3" borderId="6" xfId="0" applyFont="1" applyFill="1" applyBorder="1" applyAlignment="1">
      <x:alignment horizontal="center"/>
    </x:xf>
    <x:xf numFmtId="0" fontId="0" fillId="0" borderId="7" xfId="0" applyBorder="1"/>
    <x:xf numFmtId="0" fontId="6" fillId="0" borderId="0" xfId="0" applyFont="1" applyAlignment="1">
      <x:alignment horizontal="center"/>
    </x:xf>
    <x:xf numFmtId="0" fontId="0" fillId="0" borderId="0" xfId="0" applyAlignment="1">
      <x:alignment horizontal="center"/>
    </x:xf>
    <x:xf numFmtId="0" fontId="0" fillId="0" borderId="8" xfId="0" applyBorder="1"/>
    <x:xf numFmtId="0" fontId="6" fillId="0" borderId="8" xfId="0" applyFont="1" applyBorder="1"/>
    <x:xf numFmtId="0" fontId="6" fillId="0" borderId="0" xfId="0" applyFont="1"/>
    <x:xf numFmtId="49" fontId="6" fillId="0" borderId="0" xfId="0" applyNumberFormat="1" applyFont="1" applyAlignment="1">
      <x:alignment horizontal="center"/>
    </x:xf>
    <x:xf numFmtId="0" fontId="2" fillId="0" borderId="7" xfId="0" applyFont="1" applyBorder="1"/>
    <x:xf numFmtId="0" fontId="4" fillId="0" borderId="0" xfId="0" applyFont="1" applyAlignment="1">
      <x:alignment horizontal="center"/>
    </x:xf>
    <x:xf numFmtId="0" fontId="2" fillId="0" borderId="8" xfId="0" applyFont="1" applyBorder="1"/>
    <x:xf numFmtId="0" fontId="5" fillId="3" borderId="9" xfId="0" applyFont="1" applyFill="1" applyBorder="1"/>
    <x:xf numFmtId="0" fontId="7" fillId="0" borderId="0" xfId="0" applyFont="1" applyAlignment="1">
      <x:alignment horizontal="right"/>
    </x:xf>
    <x:xf numFmtId="9" fontId="0" fillId="0" borderId="8" xfId="0" applyNumberFormat="1" applyBorder="1"/>
    <x:xf numFmtId="0" fontId="7" fillId="0" borderId="7" xfId="0" applyFont="1" applyBorder="1"/>
    <x:xf numFmtId="0" fontId="5" fillId="0" borderId="7" xfId="0" applyFont="1" applyBorder="1" applyAlignment="1">
      <x:alignment horizontal="left"/>
    </x:xf>
    <x:xf numFmtId="0" fontId="6" fillId="0" borderId="0" xfId="0" applyFont="1" applyAlignment="1">
      <x:alignment horizontal="left"/>
    </x:xf>
    <x:xf numFmtId="0" fontId="6" fillId="0" borderId="0" xfId="0" applyFont="1" applyAlignment="1">
      <x:alignment horizontal="right"/>
    </x:xf>
    <x:xf numFmtId="0" fontId="0" fillId="0" borderId="8" xfId="0" applyBorder="1" applyAlignment="1">
      <x:alignment horizontal="right"/>
    </x:xf>
    <x:xf numFmtId="0" fontId="5" fillId="0" borderId="10" xfId="0" applyFont="1" applyBorder="1" applyAlignment="1">
      <x:alignment horizontal="left"/>
    </x:xf>
    <x:xf numFmtId="0" fontId="4" fillId="3" borderId="1" xfId="0" applyFont="1" applyFill="1" applyBorder="1" applyAlignment="1">
      <x:alignment horizontal="center"/>
    </x:xf>
    <x:xf numFmtId="0" fontId="5" fillId="0" borderId="7" xfId="0" applyFont="1" applyBorder="1" applyAlignment="1">
      <x:alignment wrapText="1"/>
    </x:xf>
    <x:xf numFmtId="0" fontId="5" fillId="0" borderId="0" xfId="0" applyFont="1" applyAlignment="1">
      <x:alignment wrapText="1"/>
    </x:xf>
    <x:xf numFmtId="0" fontId="5" fillId="0" borderId="7" xfId="0" applyFont="1" applyBorder="1"/>
    <x:xf numFmtId="0" fontId="5" fillId="0" borderId="8" xfId="0" applyFont="1" applyBorder="1"/>
    <x:xf numFmtId="0" fontId="4" fillId="3" borderId="4" xfId="0" applyFont="1" applyFill="1" applyBorder="1" applyAlignment="1">
      <x:alignment horizontal="center" wrapText="1"/>
    </x:xf>
    <x:xf numFmtId="0" fontId="4" fillId="0" borderId="7" xfId="0" applyFont="1" applyBorder="1" applyAlignment="1">
      <x:alignment horizontal="left"/>
    </x:xf>
    <x:xf numFmtId="0" fontId="6" fillId="0" borderId="8" xfId="0" applyFont="1" applyBorder="1" applyAlignment="1">
      <x:alignment horizontal="right"/>
    </x:xf>
    <x:xf numFmtId="0" fontId="6" fillId="0" borderId="13" xfId="0" applyFont="1" applyBorder="1" applyAlignment="1">
      <x:alignment horizontal="left"/>
    </x:xf>
    <x:xf numFmtId="0" fontId="4" fillId="0" borderId="7" xfId="0" applyFont="1" applyBorder="1" applyAlignment="1">
      <x:alignment horizontal="center"/>
    </x:xf>
    <x:xf numFmtId="0" fontId="6" fillId="0" borderId="13" xfId="0" applyFont="1" applyBorder="1"/>
    <x:xf numFmtId="0" fontId="4" fillId="0" borderId="8" xfId="0" applyFont="1" applyBorder="1" applyAlignment="1">
      <x:alignment horizontal="center"/>
    </x:xf>
    <x:xf numFmtId="0" fontId="4" fillId="0" borderId="13" xfId="0" applyFont="1" applyBorder="1" applyAlignment="1">
      <x:alignment horizontal="center"/>
    </x:xf>
    <x:xf numFmtId="0" fontId="8" fillId="0" borderId="0" xfId="0" applyFont="1"/>
    <x:xf numFmtId="0" fontId="0" fillId="0" borderId="8" xfId="0" applyBorder="1" applyAlignment="1">
      <x:alignment horizontal="center"/>
    </x:xf>
    <x:xf numFmtId="0" fontId="7" fillId="2" borderId="1" xfId="0" applyFont="1" applyFill="1" applyBorder="1"/>
    <x:xf numFmtId="0" fontId="2" fillId="3" borderId="7" xfId="0" applyFont="1" applyFill="1" applyBorder="1"/>
    <x:xf numFmtId="0" fontId="2" fillId="3" borderId="15" xfId="0" applyFont="1" applyFill="1" applyBorder="1"/>
    <x:xf numFmtId="0" fontId="4" fillId="3" borderId="16" xfId="0" applyFont="1" applyFill="1" applyBorder="1" applyAlignment="1">
      <x:alignment horizontal="center"/>
    </x:xf>
    <x:xf numFmtId="0" fontId="4" fillId="3" borderId="17" xfId="0" applyFont="1" applyFill="1" applyBorder="1" applyAlignment="1">
      <x:alignment horizontal="center"/>
    </x:xf>
    <x:xf numFmtId="0" fontId="4" fillId="3" borderId="8" xfId="0" applyFont="1" applyFill="1" applyBorder="1" applyAlignment="1">
      <x:alignment horizontal="center"/>
    </x:xf>
    <x:xf numFmtId="0" fontId="2" fillId="3" borderId="8" xfId="0" applyFont="1" applyFill="1" applyBorder="1"/>
    <x:xf numFmtId="0" fontId="0" fillId="2" borderId="0" xfId="0" applyFill="1"/>
    <x:xf numFmtId="0" fontId="10" fillId="0" borderId="0" xfId="0" applyFont="1"/>
    <x:xf numFmtId="0" fontId="5" fillId="0" borderId="9" xfId="0" applyFont="1" applyBorder="1" applyAlignment="1">
      <x:alignment wrapText="1"/>
    </x:xf>
    <x:xf numFmtId="0" fontId="5" fillId="0" borderId="14" xfId="0" applyFont="1" applyBorder="1" applyAlignment="1">
      <x:alignment wrapText="1"/>
    </x:xf>
    <x:xf numFmtId="0" fontId="5" fillId="0" borderId="3" xfId="0" applyFont="1" applyBorder="1" applyAlignment="1">
      <x:alignment wrapText="1"/>
    </x:xf>
    <x:xf numFmtId="0" fontId="6" fillId="0" borderId="0" xfId="0" applyFont="1" applyAlignment="1">
      <x:alignment wrapText="1"/>
    </x:xf>
    <x:xf numFmtId="0" fontId="9" fillId="4" borderId="0" xfId="0" applyFont="1" applyFill="1" applyAlignment="1">
      <x:alignment horizontal="left" wrapText="1"/>
    </x:xf>
    <x:xf numFmtId="0" fontId="5" fillId="2" borderId="9" xfId="0" applyFont="1" applyFill="1" applyBorder="1" applyAlignment="1">
      <x:alignment wrapText="1"/>
    </x:xf>
    <x:xf numFmtId="0" fontId="5" fillId="2" borderId="14" xfId="0" applyFont="1" applyFill="1" applyBorder="1" applyAlignment="1">
      <x:alignment wrapText="1"/>
    </x:xf>
    <x:xf numFmtId="0" fontId="5" fillId="2" borderId="3" xfId="0" applyFont="1" applyFill="1" applyBorder="1" applyAlignment="1">
      <x:alignment wrapText="1"/>
    </x:xf>
    <x:xf numFmtId="0" fontId="4" fillId="0" borderId="7" xfId="0" applyFont="1" applyBorder="1" applyAlignment="1">
      <x:alignment horizontal="left" vertical="center" wrapText="1"/>
    </x:xf>
    <x:xf numFmtId="49" fontId="5" fillId="0" borderId="15" xfId="0" applyNumberFormat="1" applyFont="1" applyBorder="1" applyAlignment="1">
      <x:alignment horizontal="right"/>
    </x:xf>
    <x:xf numFmtId="49" fontId="5" fillId="0" borderId="13" xfId="0" applyNumberFormat="1" applyFont="1" applyBorder="1" applyAlignment="1">
      <x:alignment horizontal="right"/>
    </x:xf>
    <x:xf numFmtId="0" fontId="5" fillId="2" borderId="0" xfId="0" applyFont="1" applyFill="1"/>
    <x:xf numFmtId="0" fontId="7" fillId="0" borderId="15" xfId="0" applyFont="1" applyBorder="1" applyAlignment="1">
      <x:alignment horizontal="right"/>
    </x:xf>
    <x:xf numFmtId="0" fontId="7" fillId="0" borderId="13" xfId="0" applyFont="1" applyBorder="1" applyAlignment="1">
      <x:alignment horizontal="right"/>
    </x:xf>
    <x:xf numFmtId="0" fontId="5" fillId="0" borderId="15" xfId="0" applyFont="1" applyBorder="1" applyAlignment="1">
      <x:alignment horizontal="right"/>
    </x:xf>
    <x:xf numFmtId="0" fontId="5" fillId="0" borderId="13" xfId="0" applyFont="1" applyBorder="1" applyAlignment="1">
      <x:alignment horizontal="right"/>
    </x:xf>
    <x:xf numFmtId="49" fontId="5" fillId="0" borderId="11" xfId="0" applyNumberFormat="1" applyFont="1" applyBorder="1" applyAlignment="1">
      <x:alignment horizontal="right"/>
    </x:xf>
    <x:xf numFmtId="49" fontId="5" fillId="0" borderId="12" xfId="0" applyNumberFormat="1" applyFont="1" applyBorder="1" applyAlignment="1">
      <x:alignment horizontal="right"/>
    </x:xf>
    <x:xf numFmtId="0" fontId="1" fillId="0" borderId="15" xfId="0" applyFont="1" applyBorder="1" applyAlignment="1">
      <x:alignment horizontal="center"/>
    </x:xf>
    <x:xf numFmtId="0" fontId="0" fillId="0" borderId="18" xfId="0" applyNumberFormat="1" applyFont="1" applyFill="1" applyBorder="1"/>
    <x:xf numFmtId="0" fontId="2" fillId="0" borderId="19" xfId="0" applyNumberFormat="1" applyFont="1" applyFill="1" applyBorder="1"/>
    <x:xf numFmtId="0" fontId="3" fillId="0" borderId="19" xfId="0" applyNumberFormat="1" applyFont="1" applyFill="1" applyBorder="1"/>
    <x:xf numFmtId="0" fontId="2" fillId="0" borderId="18" xfId="0" applyNumberFormat="1" applyFont="1" applyFill="1" applyBorder="1" applyAlignment="1">
      <x:alignment horizontal="center"/>
    </x:xf>
    <x:xf numFmtId="0" fontId="4" fillId="0" borderId="19" xfId="0" applyNumberFormat="1" applyFont="1" applyFill="1" applyBorder="1"/>
    <x:xf numFmtId="0" fontId="2" fillId="0" borderId="18" xfId="0" applyNumberFormat="1" applyFont="1" applyFill="1" applyBorder="1"/>
    <x:xf numFmtId="0" fontId="4" fillId="0" borderId="18" xfId="0" applyNumberFormat="1" applyFont="1" applyFill="1" applyBorder="1"/>
    <x:xf numFmtId="0" fontId="4" fillId="3" borderId="20" xfId="0" applyNumberFormat="1" applyFont="1" applyFill="1" applyBorder="1" applyAlignment="1">
      <x:alignment horizontal="center"/>
    </x:xf>
    <x:xf numFmtId="0" fontId="2" fillId="3" borderId="21" xfId="0" applyNumberFormat="1" applyFont="1" applyFill="1" applyBorder="1" applyAlignment="1">
      <x:alignment horizontal="center"/>
    </x:xf>
    <x:xf numFmtId="0" fontId="4" fillId="3" borderId="21" xfId="0" applyNumberFormat="1" applyFont="1" applyFill="1" applyBorder="1" applyAlignment="1">
      <x:alignment horizontal="center"/>
    </x:xf>
    <x:xf numFmtId="0" fontId="4" fillId="3" borderId="22" xfId="0" applyNumberFormat="1" applyFont="1" applyFill="1" applyBorder="1" applyAlignment="1">
      <x:alignment horizontal="center"/>
    </x:xf>
    <x:xf numFmtId="0" fontId="0" fillId="0" borderId="23" xfId="0" applyNumberFormat="1" applyFont="1" applyFill="1" applyBorder="1"/>
    <x:xf numFmtId="0" fontId="6" fillId="0" borderId="18" xfId="0" applyNumberFormat="1" applyFont="1" applyFill="1" applyBorder="1" applyAlignment="1">
      <x:alignment horizontal="center"/>
    </x:xf>
    <x:xf numFmtId="0" fontId="0" fillId="0" borderId="18" xfId="0" applyNumberFormat="1" applyFont="1" applyFill="1" applyBorder="1" applyAlignment="1">
      <x:alignment horizontal="center"/>
    </x:xf>
    <x:xf numFmtId="0" fontId="0" fillId="0" borderId="24" xfId="0" applyNumberFormat="1" applyFont="1" applyFill="1" applyBorder="1"/>
    <x:xf numFmtId="0" fontId="6" fillId="0" borderId="24" xfId="0" applyNumberFormat="1" applyFont="1" applyFill="1" applyBorder="1"/>
    <x:xf numFmtId="0" fontId="6" fillId="0" borderId="18" xfId="0" applyNumberFormat="1" applyFont="1" applyFill="1" applyBorder="1"/>
    <x:xf numFmtId="49" fontId="6" fillId="0" borderId="18" xfId="0" applyNumberFormat="1" applyFont="1" applyFill="1" applyBorder="1" applyAlignment="1">
      <x:alignment horizontal="center"/>
    </x:xf>
    <x:xf numFmtId="0" fontId="2" fillId="0" borderId="23" xfId="0" applyNumberFormat="1" applyFont="1" applyFill="1" applyBorder="1"/>
    <x:xf numFmtId="0" fontId="4" fillId="0" borderId="18" xfId="0" applyNumberFormat="1" applyFont="1" applyFill="1" applyBorder="1" applyAlignment="1">
      <x:alignment horizontal="center"/>
    </x:xf>
    <x:xf numFmtId="0" fontId="2" fillId="0" borderId="24" xfId="0" applyNumberFormat="1" applyFont="1" applyFill="1" applyBorder="1"/>
    <x:xf numFmtId="0" fontId="5" fillId="3" borderId="20" xfId="0" applyNumberFormat="1" applyFont="1" applyFill="1" applyBorder="1"/>
    <x:xf numFmtId="0" fontId="7" fillId="0" borderId="18" xfId="0" applyNumberFormat="1" applyFont="1" applyFill="1" applyBorder="1" applyAlignment="1">
      <x:alignment horizontal="right"/>
    </x:xf>
    <x:xf numFmtId="9" fontId="0" fillId="0" borderId="24" xfId="0" applyNumberFormat="1" applyFont="1" applyFill="1" applyBorder="1"/>
    <x:xf numFmtId="0" fontId="7" fillId="0" borderId="23" xfId="0" applyNumberFormat="1" applyFont="1" applyFill="1" applyBorder="1"/>
    <x:xf numFmtId="0" fontId="5" fillId="0" borderId="23" xfId="0" applyNumberFormat="1" applyFont="1" applyFill="1" applyBorder="1" applyAlignment="1">
      <x:alignment horizontal="left"/>
    </x:xf>
    <x:xf numFmtId="0" fontId="6" fillId="0" borderId="18" xfId="0" applyNumberFormat="1" applyFont="1" applyFill="1" applyBorder="1" applyAlignment="1">
      <x:alignment horizontal="left"/>
    </x:xf>
    <x:xf numFmtId="0" fontId="6" fillId="0" borderId="18" xfId="0" applyNumberFormat="1" applyFont="1" applyFill="1" applyBorder="1" applyAlignment="1">
      <x:alignment horizontal="right"/>
    </x:xf>
    <x:xf numFmtId="0" fontId="0" fillId="0" borderId="24" xfId="0" applyNumberFormat="1" applyFont="1" applyFill="1" applyBorder="1" applyAlignment="1">
      <x:alignment horizontal="right"/>
    </x:xf>
    <x:xf numFmtId="0" fontId="5" fillId="0" borderId="25" xfId="0" applyNumberFormat="1" applyFont="1" applyFill="1" applyBorder="1" applyAlignment="1">
      <x:alignment horizontal="left"/>
    </x:xf>
    <x:xf numFmtId="0" fontId="4" fillId="3" borderId="19" xfId="0" applyNumberFormat="1" applyFont="1" applyFill="1" applyBorder="1" applyAlignment="1">
      <x:alignment horizontal="center"/>
    </x:xf>
    <x:xf numFmtId="0" fontId="5" fillId="0" borderId="23"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23" xfId="0" applyNumberFormat="1" applyFont="1" applyFill="1" applyBorder="1"/>
    <x:xf numFmtId="0" fontId="5" fillId="0" borderId="24" xfId="0" applyNumberFormat="1" applyFont="1" applyFill="1" applyBorder="1"/>
    <x:xf numFmtId="0" fontId="4" fillId="3" borderId="21" xfId="0" applyNumberFormat="1" applyFont="1" applyFill="1" applyBorder="1" applyAlignment="1">
      <x:alignment horizontal="center" wrapText="1"/>
    </x:xf>
    <x:xf numFmtId="0" fontId="4" fillId="0" borderId="23" xfId="0" applyNumberFormat="1" applyFont="1" applyFill="1" applyBorder="1" applyAlignment="1">
      <x:alignment horizontal="left"/>
    </x:xf>
    <x:xf numFmtId="0" fontId="6" fillId="0" borderId="24" xfId="0" applyNumberFormat="1" applyFont="1" applyFill="1" applyBorder="1" applyAlignment="1">
      <x:alignment horizontal="right"/>
    </x:xf>
    <x:xf numFmtId="0" fontId="6" fillId="0" borderId="26" xfId="0" applyNumberFormat="1" applyFont="1" applyFill="1" applyBorder="1" applyAlignment="1">
      <x:alignment horizontal="left"/>
    </x:xf>
    <x:xf numFmtId="0" fontId="4" fillId="0" borderId="23" xfId="0" applyNumberFormat="1" applyFont="1" applyFill="1" applyBorder="1" applyAlignment="1">
      <x:alignment horizontal="center"/>
    </x:xf>
    <x:xf numFmtId="0" fontId="6" fillId="0" borderId="26" xfId="0" applyNumberFormat="1" applyFont="1" applyFill="1" applyBorder="1"/>
    <x:xf numFmtId="0" fontId="4" fillId="0" borderId="24" xfId="0" applyNumberFormat="1" applyFont="1" applyFill="1" applyBorder="1" applyAlignment="1">
      <x:alignment horizontal="center"/>
    </x:xf>
    <x:xf numFmtId="0" fontId="4" fillId="0" borderId="26" xfId="0" applyNumberFormat="1" applyFont="1" applyFill="1" applyBorder="1" applyAlignment="1">
      <x:alignment horizontal="center"/>
    </x:xf>
    <x:xf numFmtId="0" fontId="8" fillId="0" borderId="18" xfId="0" applyNumberFormat="1" applyFont="1" applyFill="1" applyBorder="1"/>
    <x:xf numFmtId="0" fontId="0" fillId="0" borderId="24" xfId="0" applyNumberFormat="1" applyFont="1" applyFill="1" applyBorder="1" applyAlignment="1">
      <x:alignment horizontal="center"/>
    </x:xf>
    <x:xf numFmtId="0" fontId="7" fillId="2" borderId="19" xfId="0" applyNumberFormat="1" applyFont="1" applyFill="1" applyBorder="1"/>
    <x:xf numFmtId="0" fontId="2" fillId="3" borderId="23" xfId="0" applyNumberFormat="1" applyFont="1" applyFill="1" applyBorder="1"/>
    <x:xf numFmtId="0" fontId="2" fillId="3" borderId="18" xfId="0" applyNumberFormat="1" applyFont="1" applyFill="1" applyBorder="1"/>
    <x:xf numFmtId="0" fontId="4" fillId="3" borderId="27" xfId="0" applyNumberFormat="1" applyFont="1" applyFill="1" applyBorder="1" applyAlignment="1">
      <x:alignment horizontal="center"/>
    </x:xf>
    <x:xf numFmtId="0" fontId="4" fillId="3" borderId="24" xfId="0" applyNumberFormat="1" applyFont="1" applyFill="1" applyBorder="1" applyAlignment="1">
      <x:alignment horizontal="center"/>
    </x:xf>
    <x:xf numFmtId="0" fontId="2" fillId="3" borderId="24" xfId="0" applyNumberFormat="1" applyFont="1" applyFill="1" applyBorder="1"/>
    <x:xf numFmtId="0" fontId="0" fillId="2" borderId="18" xfId="0" applyNumberFormat="1" applyFont="1" applyFill="1" applyBorder="1"/>
    <x:xf numFmtId="0" fontId="5" fillId="0" borderId="20"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8" xfId="0" applyNumberFormat="1" applyFont="1" applyFill="1" applyBorder="1" applyAlignment="1">
      <x:alignment wrapText="1"/>
    </x:xf>
    <x:xf numFmtId="0" fontId="6" fillId="0" borderId="18" xfId="0" applyNumberFormat="1" applyFont="1" applyFill="1" applyBorder="1" applyAlignment="1">
      <x:alignment wrapText="1"/>
    </x:xf>
    <x:xf numFmtId="0" fontId="6" fillId="4" borderId="18" xfId="0" applyNumberFormat="1" applyFont="1" applyFill="1" applyBorder="1" applyAlignment="1">
      <x:alignment horizontal="left" wrapText="1"/>
    </x:xf>
    <x:xf numFmtId="0" fontId="5" fillId="2" borderId="20" xfId="0" applyNumberFormat="1" applyFont="1" applyFill="1" applyBorder="1" applyAlignment="1">
      <x:alignment wrapText="1"/>
    </x:xf>
    <x:xf numFmtId="0" fontId="5" fillId="2" borderId="21" xfId="0" applyNumberFormat="1" applyFont="1" applyFill="1" applyBorder="1" applyAlignment="1">
      <x:alignment wrapText="1"/>
    </x:xf>
    <x:xf numFmtId="0" fontId="5" fillId="2" borderId="28" xfId="0" applyNumberFormat="1" applyFont="1" applyFill="1" applyBorder="1" applyAlignment="1">
      <x:alignment wrapText="1"/>
    </x:xf>
    <x:xf numFmtId="0" fontId="4" fillId="0" borderId="23" xfId="0" applyNumberFormat="1" applyFont="1" applyFill="1" applyBorder="1" applyAlignment="1">
      <x:alignment horizontal="left" vertical="center" wrapText="1"/>
    </x:xf>
    <x:xf numFmtId="49" fontId="5" fillId="0" borderId="18" xfId="0" applyNumberFormat="1" applyFont="1" applyFill="1" applyBorder="1" applyAlignment="1">
      <x:alignment horizontal="right"/>
    </x:xf>
    <x:xf numFmtId="49" fontId="5" fillId="0" borderId="26" xfId="0" applyNumberFormat="1" applyFont="1" applyFill="1" applyBorder="1" applyAlignment="1">
      <x:alignment horizontal="right"/>
    </x:xf>
    <x:xf numFmtId="0" fontId="5" fillId="2" borderId="18" xfId="0" applyNumberFormat="1" applyFont="1" applyFill="1" applyBorder="1"/>
    <x:xf numFmtId="0" fontId="7" fillId="0" borderId="26" xfId="0" applyNumberFormat="1" applyFont="1" applyFill="1" applyBorder="1" applyAlignment="1">
      <x:alignment horizontal="right"/>
    </x:xf>
    <x:xf numFmtId="0" fontId="5" fillId="0" borderId="18" xfId="0" applyNumberFormat="1" applyFont="1" applyFill="1" applyBorder="1" applyAlignment="1">
      <x:alignment horizontal="right"/>
    </x:xf>
    <x:xf numFmtId="0" fontId="5" fillId="0" borderId="26" xfId="0" applyNumberFormat="1" applyFont="1" applyFill="1" applyBorder="1" applyAlignment="1">
      <x:alignment horizontal="right"/>
    </x:xf>
    <x:xf numFmtId="49" fontId="5" fillId="0" borderId="29" xfId="0" applyNumberFormat="1" applyFont="1" applyFill="1" applyBorder="1" applyAlignment="1">
      <x:alignment horizontal="right"/>
    </x:xf>
    <x:xf numFmtId="49" fontId="5" fillId="0" borderId="30" xfId="0" applyNumberFormat="1" applyFont="1" applyFill="1" applyBorder="1" applyAlignment="1">
      <x:alignment horizontal="right"/>
    </x:xf>
    <x:xf numFmtId="0" fontId="1" fillId="0" borderId="18" xfId="0" applyNumberFormat="1" applyFont="1" applyFill="1" applyBorder="1" applyAlignment="1">
      <x:alignment horizontal="center"/>
    </x:xf>
    <x:xf numFmtId="0" fontId="0" fillId="5" borderId="0" xfId="0" applyNumberFormat="1" applyFont="1" applyFill="1" applyBorder="1"/>
    <x:xf numFmtId="0" fontId="6" fillId="5" borderId="0" xfId="0" applyNumberFormat="1" applyFont="1" applyFill="1" applyBorder="1"/>
    <x:xf numFmtId="0" fontId="0" fillId="5" borderId="18" xfId="0" applyNumberFormat="1" applyFont="1" applyFill="1" applyBorder="1"/>
    <x:xf numFmtId="0" fontId="6" fillId="5" borderId="18" xfId="0" applyNumberFormat="1" applyFont="1" applyFill="1" applyBorder="1"/>
    <x:xf numFmtId="0" fontId="6" fillId="5" borderId="0" xfId="0" applyNumberFormat="1" applyFont="1" applyFill="1" applyBorder="1" applyAlignment="1">
      <x:alignment horizontal="right"/>
    </x:xf>
    <x:xf numFmtId="0" fontId="6" fillId="5" borderId="18" xfId="0" applyNumberFormat="1" applyFont="1" applyFill="1" applyBorder="1" applyAlignment="1">
      <x:alignment horizontal="right"/>
    </x:xf>
    <x:xf numFmtId="0" fontId="6" fillId="6" borderId="0" xfId="0" applyNumberFormat="1" applyFont="1" applyFill="1" applyBorder="1" applyAlignment="1">
      <x:alignment horizontal="right"/>
    </x:xf>
    <x:xf numFmtId="0" fontId="6" fillId="6" borderId="18" xfId="0" applyNumberFormat="1" applyFont="1" applyFill="1" applyBorder="1" applyAlignment="1">
      <x:alignment horizontal="right"/>
    </x:xf>
    <x:xf numFmtId="0" fontId="0" fillId="7" borderId="0" xfId="0" applyNumberFormat="1" applyFont="1" applyFill="1" applyBorder="1"/>
    <x:xf numFmtId="0" fontId="11" fillId="7" borderId="0" xfId="0" applyNumberFormat="1" applyFont="1" applyFill="1" applyBorder="1"/>
    <x:xf numFmtId="0" fontId="0" fillId="7" borderId="18" xfId="0" applyNumberFormat="1" applyFont="1" applyFill="1" applyBorder="1"/>
    <x:xf numFmtId="0" fontId="11" fillId="7" borderId="18"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0" fillId="8" borderId="18" xfId="0" applyNumberFormat="1" applyFont="1" applyFill="1" applyBorder="1"/>
    <x:xf numFmtId="0" fontId="2" fillId="8" borderId="18" xfId="0" applyNumberFormat="1" applyFont="1" applyFill="1" applyBorder="1"/>
    <x:xf numFmtId="0" fontId="2" fillId="8"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x:xf numFmtId="0" fontId="2" fillId="0" borderId="1" xfId="0" applyNumberFormat="1" applyFont="1" applyFill="1" applyBorder="1"/>
    <x:xf numFmtId="0" fontId="3" fillId="0" borderId="1" xfId="0" applyNumberFormat="1" applyFont="1" applyFill="1" applyBorder="1"/>
    <x:xf numFmtId="0" fontId="2" fillId="0" borderId="0" xfId="0" applyNumberFormat="1" applyFont="1" applyFill="1" applyBorder="1" applyAlignment="1">
      <x:alignment horizontal="center"/>
    </x:xf>
    <x:xf numFmtId="0" fontId="4" fillId="0" borderId="1" xfId="0" applyNumberFormat="1" applyFont="1" applyFill="1" applyBorder="1"/>
    <x:xf numFmtId="0" fontId="2" fillId="0" borderId="0" xfId="0" applyNumberFormat="1" applyFont="1" applyFill="1" applyBorder="1"/>
    <x:xf numFmtId="0" fontId="4" fillId="0" borderId="0" xfId="0" applyNumberFormat="1" applyFont="1" applyFill="1" applyBorder="1"/>
    <x:xf numFmtId="0" fontId="4" fillId="3" borderId="2" xfId="0" applyNumberFormat="1" applyFont="1" applyFill="1" applyBorder="1" applyAlignment="1">
      <x:alignment horizontal="center"/>
    </x:xf>
    <x:xf numFmtId="0" fontId="2" fillId="3" borderId="4" xfId="0" applyNumberFormat="1" applyFont="1" applyFill="1" applyBorder="1" applyAlignment="1">
      <x:alignment horizontal="center"/>
    </x:xf>
    <x:xf numFmtId="0" fontId="4" fillId="3" borderId="4" xfId="0" applyNumberFormat="1" applyFont="1" applyFill="1" applyBorder="1" applyAlignment="1">
      <x:alignment horizontal="center"/>
    </x:xf>
    <x:xf numFmtId="0" fontId="4" fillId="3" borderId="6" xfId="0" applyNumberFormat="1" applyFont="1" applyFill="1" applyBorder="1" applyAlignment="1">
      <x:alignment horizontal="center"/>
    </x:xf>
    <x:xf numFmtId="0" fontId="0" fillId="0" borderId="7" xfId="0" applyNumberFormat="1" applyFont="1" applyFill="1" applyBorder="1"/>
    <x:xf numFmtId="0" fontId="6" fillId="0" borderId="0"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8" xfId="0" applyNumberFormat="1" applyFont="1" applyFill="1" applyBorder="1"/>
    <x:xf numFmtId="0" fontId="6" fillId="0" borderId="8" xfId="0" applyNumberFormat="1" applyFont="1" applyFill="1" applyBorder="1"/>
    <x:xf numFmtId="0" fontId="6" fillId="0" borderId="0" xfId="0" applyNumberFormat="1" applyFont="1" applyFill="1" applyBorder="1"/>
    <x:xf numFmtId="49" fontId="6" fillId="0" borderId="0" xfId="0" applyNumberFormat="1" applyFont="1" applyFill="1" applyBorder="1" applyAlignment="1">
      <x:alignment horizontal="center"/>
    </x:xf>
    <x:xf numFmtId="0" fontId="2" fillId="0" borderId="7" xfId="0" applyNumberFormat="1" applyFont="1" applyFill="1" applyBorder="1"/>
    <x:xf numFmtId="0" fontId="4" fillId="0" borderId="0" xfId="0" applyNumberFormat="1" applyFont="1" applyFill="1" applyBorder="1" applyAlignment="1">
      <x:alignment horizontal="center"/>
    </x:xf>
    <x:xf numFmtId="0" fontId="2" fillId="0" borderId="8" xfId="0" applyNumberFormat="1" applyFont="1" applyFill="1" applyBorder="1"/>
    <x:xf numFmtId="0" fontId="5" fillId="3" borderId="2" xfId="0" applyNumberFormat="1" applyFont="1" applyFill="1" applyBorder="1"/>
    <x:xf numFmtId="0" fontId="7" fillId="0" borderId="0" xfId="0" applyNumberFormat="1" applyFont="1" applyFill="1" applyBorder="1" applyAlignment="1">
      <x:alignment horizontal="right"/>
    </x:xf>
    <x:xf numFmtId="9" fontId="0" fillId="0" borderId="8" xfId="0" applyNumberFormat="1" applyFont="1" applyFill="1" applyBorder="1"/>
    <x:xf numFmtId="0" fontId="7" fillId="0" borderId="7" xfId="0" applyNumberFormat="1" applyFont="1" applyFill="1" applyBorder="1"/>
    <x:xf numFmtId="0" fontId="5" fillId="0" borderId="7" xfId="0" applyNumberFormat="1" applyFont="1" applyFill="1" applyBorder="1" applyAlignment="1">
      <x:alignment horizontal="left"/>
    </x:xf>
    <x:xf numFmtId="0" fontId="6" fillId="0" borderId="0" xfId="0" applyNumberFormat="1" applyFont="1" applyFill="1" applyBorder="1" applyAlignment="1">
      <x:alignment horizontal="left"/>
    </x:xf>
    <x:xf numFmtId="0" fontId="6" fillId="0" borderId="0" xfId="0" applyNumberFormat="1" applyFont="1" applyFill="1" applyBorder="1" applyAlignment="1">
      <x:alignment horizontal="right"/>
    </x:xf>
    <x:xf numFmtId="0" fontId="0" fillId="0" borderId="8" xfId="0" applyNumberFormat="1" applyFont="1" applyFill="1" applyBorder="1" applyAlignment="1">
      <x:alignment horizontal="right"/>
    </x:xf>
    <x:xf numFmtId="0" fontId="5" fillId="0" borderId="10" xfId="0" applyNumberFormat="1" applyFont="1" applyFill="1" applyBorder="1" applyAlignment="1">
      <x:alignment horizontal="left"/>
    </x:xf>
    <x:xf numFmtId="0" fontId="4" fillId="3" borderId="1" xfId="0" applyNumberFormat="1" applyFont="1" applyFill="1" applyBorder="1" applyAlignment="1">
      <x:alignment horizontal="center"/>
    </x:xf>
    <x:xf numFmtId="0" fontId="5" fillId="0" borderId="7"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7" xfId="0" applyNumberFormat="1" applyFont="1" applyFill="1" applyBorder="1"/>
    <x:xf numFmtId="0" fontId="5" fillId="0" borderId="8" xfId="0" applyNumberFormat="1" applyFont="1" applyFill="1" applyBorder="1"/>
    <x:xf numFmtId="0" fontId="4" fillId="3" borderId="4" xfId="0" applyNumberFormat="1" applyFont="1" applyFill="1" applyBorder="1" applyAlignment="1">
      <x:alignment horizontal="center" wrapText="1"/>
    </x:xf>
    <x:xf numFmtId="0" fontId="4" fillId="0" borderId="7" xfId="0" applyNumberFormat="1" applyFont="1" applyFill="1" applyBorder="1" applyAlignment="1">
      <x:alignment horizontal="left"/>
    </x:xf>
    <x:xf numFmtId="0" fontId="6" fillId="0" borderId="8" xfId="0" applyNumberFormat="1" applyFont="1" applyFill="1" applyBorder="1" applyAlignment="1">
      <x:alignment horizontal="right"/>
    </x:xf>
    <x:xf numFmtId="0" fontId="6" fillId="0" borderId="13" xfId="0" applyNumberFormat="1" applyFont="1" applyFill="1" applyBorder="1" applyAlignment="1">
      <x:alignment horizontal="left"/>
    </x:xf>
    <x:xf numFmtId="0" fontId="4" fillId="0" borderId="7" xfId="0" applyNumberFormat="1" applyFont="1" applyFill="1" applyBorder="1" applyAlignment="1">
      <x:alignment horizontal="center"/>
    </x:xf>
    <x:xf numFmtId="0" fontId="6" fillId="0" borderId="13" xfId="0" applyNumberFormat="1" applyFont="1" applyFill="1" applyBorder="1"/>
    <x:xf numFmtId="0" fontId="4" fillId="0" borderId="8" xfId="0" applyNumberFormat="1" applyFont="1" applyFill="1" applyBorder="1" applyAlignment="1">
      <x:alignment horizontal="center"/>
    </x:xf>
    <x:xf numFmtId="0" fontId="4" fillId="0" borderId="13" xfId="0" applyNumberFormat="1" applyFont="1" applyFill="1" applyBorder="1" applyAlignment="1">
      <x:alignment horizontal="center"/>
    </x:xf>
    <x:xf numFmtId="0" fontId="8" fillId="0" borderId="0" xfId="0" applyNumberFormat="1" applyFont="1" applyFill="1" applyBorder="1"/>
    <x:xf numFmtId="0" fontId="0" fillId="0" borderId="8" xfId="0" applyNumberFormat="1" applyFont="1" applyFill="1" applyBorder="1" applyAlignment="1">
      <x:alignment horizontal="center"/>
    </x:xf>
    <x:xf numFmtId="0" fontId="7" fillId="2" borderId="1" xfId="0" applyNumberFormat="1" applyFont="1" applyFill="1" applyBorder="1"/>
    <x:xf numFmtId="0" fontId="2" fillId="3" borderId="7" xfId="0" applyNumberFormat="1" applyFont="1" applyFill="1" applyBorder="1"/>
    <x:xf numFmtId="0" fontId="2" fillId="3" borderId="0" xfId="0" applyNumberFormat="1" applyFont="1" applyFill="1" applyBorder="1"/>
    <x:xf numFmtId="0" fontId="4" fillId="3" borderId="16" xfId="0" applyNumberFormat="1" applyFont="1" applyFill="1" applyBorder="1" applyAlignment="1">
      <x:alignment horizontal="center"/>
    </x:xf>
    <x:xf numFmtId="0" fontId="4" fillId="3" borderId="8" xfId="0" applyNumberFormat="1" applyFont="1" applyFill="1" applyBorder="1" applyAlignment="1">
      <x:alignment horizontal="center"/>
    </x:xf>
    <x:xf numFmtId="0" fontId="2" fillId="3" borderId="8" xfId="0" applyNumberFormat="1" applyFont="1" applyFill="1" applyBorder="1"/>
    <x:xf numFmtId="0" fontId="0" fillId="2" borderId="0" xfId="0" applyNumberFormat="1" applyFont="1" applyFill="1" applyBorder="1"/>
    <x:xf numFmtId="0" fontId="5" fillId="0" borderId="2"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3" xfId="0" applyNumberFormat="1" applyFont="1" applyFill="1" applyBorder="1" applyAlignment="1">
      <x:alignment wrapText="1"/>
    </x:xf>
    <x:xf numFmtId="0" fontId="6" fillId="0" borderId="0" xfId="0" applyNumberFormat="1" applyFont="1" applyFill="1" applyBorder="1" applyAlignment="1">
      <x:alignment wrapText="1"/>
    </x:xf>
    <x:xf numFmtId="0" fontId="6" fillId="4" borderId="0" xfId="0" applyNumberFormat="1" applyFont="1" applyFill="1" applyBorder="1" applyAlignment="1">
      <x:alignment horizontal="left" wrapText="1"/>
    </x:xf>
    <x:xf numFmtId="0" fontId="5" fillId="2" borderId="2"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3" xfId="0" applyNumberFormat="1" applyFont="1" applyFill="1" applyBorder="1" applyAlignment="1">
      <x:alignment wrapText="1"/>
    </x:xf>
    <x:xf numFmtId="0" fontId="4" fillId="0" borderId="7" xfId="0" applyNumberFormat="1" applyFont="1" applyFill="1" applyBorder="1" applyAlignment="1">
      <x:alignment horizontal="left" vertical="center" wrapText="1"/>
    </x:xf>
    <x:xf numFmtId="49" fontId="5" fillId="0" borderId="0" xfId="0" applyNumberFormat="1" applyFont="1" applyFill="1" applyBorder="1" applyAlignment="1">
      <x:alignment horizontal="right"/>
    </x:xf>
    <x:xf numFmtId="49" fontId="5" fillId="0" borderId="13" xfId="0" applyNumberFormat="1" applyFont="1" applyFill="1" applyBorder="1" applyAlignment="1">
      <x:alignment horizontal="right"/>
    </x:xf>
    <x:xf numFmtId="0" fontId="5" fillId="2" borderId="0" xfId="0" applyNumberFormat="1" applyFont="1" applyFill="1" applyBorder="1"/>
    <x:xf numFmtId="0" fontId="7" fillId="0" borderId="13" xfId="0" applyNumberFormat="1" applyFont="1" applyFill="1" applyBorder="1" applyAlignment="1">
      <x:alignment horizontal="right"/>
    </x:xf>
    <x:xf numFmtId="0" fontId="5" fillId="0" borderId="0" xfId="0" applyNumberFormat="1" applyFont="1" applyFill="1" applyBorder="1" applyAlignment="1">
      <x:alignment horizontal="right"/>
    </x:xf>
    <x:xf numFmtId="0" fontId="5" fillId="0" borderId="13" xfId="0" applyNumberFormat="1" applyFont="1" applyFill="1" applyBorder="1" applyAlignment="1">
      <x:alignment horizontal="right"/>
    </x:xf>
    <x:xf numFmtId="49" fontId="5" fillId="0" borderId="11" xfId="0" applyNumberFormat="1" applyFont="1" applyFill="1" applyBorder="1" applyAlignment="1">
      <x:alignment horizontal="right"/>
    </x:xf>
    <x:xf numFmtId="49" fontId="5" fillId="0" borderId="12" xfId="0" applyNumberFormat="1" applyFont="1" applyFill="1" applyBorder="1" applyAlignment="1">
      <x:alignment horizontal="right"/>
    </x:xf>
    <x:xf numFmtId="0" fontId="1" fillId="0" borderId="0" xfId="0" applyNumberFormat="1" applyFont="1" applyFill="1" applyBorder="1" applyAlignment="1">
      <x:alignment horizontal="center"/>
    </x:xf>
    <x:xf numFmtId="0" fontId="0" fillId="9" borderId="0" xfId="0" applyNumberFormat="1" applyFont="1" applyFill="1" applyBorder="1"/>
    <x:xf numFmtId="0" fontId="11" fillId="9" borderId="0" xfId="0" applyNumberFormat="1" applyFont="1" applyFill="1" applyBorder="1"/>
    <x:xf numFmtId="200" fontId="0" fillId="0" borderId="0" xfId="0" applyNumberFormat="1" applyFont="1" applyFill="1" applyBorder="1"/>
    <x:xf numFmtId="200" fontId="0" fillId="10" borderId="0" xfId="0" applyNumberFormat="1" applyFont="1" applyFill="1" applyBorder="1"/>
    <x:xf numFmtId="200" fontId="0" fillId="11" borderId="0" xfId="0" applyNumberFormat="1" applyFont="1" applyFill="1" applyBorder="1"/>
    <x:xf numFmtId="200" fontId="0" fillId="5" borderId="0" xfId="0" applyNumberFormat="1" applyFont="1" applyFill="1" applyBorder="1"/>
    <x:xf numFmtId="200" fontId="0" fillId="0" borderId="8" xfId="0" applyNumberFormat="1" applyFont="1" applyFill="1" applyBorder="1"/>
    <x:xf numFmtId="0" fontId="0" fillId="12" borderId="0" xfId="0" applyNumberFormat="1" applyFont="1" applyFill="1" applyBorder="1"/>
    <x:xf numFmtId="0" fontId="12"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201" fontId="0" fillId="0" borderId="0" xfId="0" applyNumberFormat="1" applyFont="1" applyFill="1" applyBorder="1"/>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vertical="center"/>
    </x:xf>
    <x:xf numFmtId="0" fontId="0" fillId="14" borderId="0" xfId="0" applyNumberFormat="1" applyFont="1" applyFill="1" applyBorder="1"/>
    <x:xf numFmtId="201" fontId="0" fillId="14" borderId="0" xfId="0" applyNumberFormat="1" applyFont="1" applyFill="1" applyBorder="1"/>
    <x:xf numFmtId="0" fontId="11" fillId="13" borderId="0" xfId="0" applyNumberFormat="1" applyFont="1" applyFill="1" applyBorder="1" applyAlignment="1">
      <x:alignment vertical="center" wrapText="1"/>
    </x:xf>
    <x:xf numFmtId="0" fontId="2" fillId="0" borderId="0" xfId="0" applyNumberFormat="1" applyFont="1" applyFill="1" applyBorder="1" applyAlignment="1">
      <x:alignment wrapText="1"/>
    </x:xf>
    <x:xf numFmtId="201" fontId="0" fillId="14" borderId="0" xfId="0" applyNumberFormat="1" applyFont="1" applyFill="1" applyBorder="1" applyAlignment="1">
      <x:alignment wrapText="1"/>
    </x:xf>
    <x:xf numFmtId="0" fontId="11" fillId="7" borderId="0" xfId="0" applyNumberFormat="1" applyFont="1" applyFill="1" applyBorder="1" applyAlignment="1">
      <x:alignment vertical="center"/>
    </x:xf>
    <x:xf numFmtId="0" fontId="0" fillId="10" borderId="0" xfId="0" applyNumberFormat="1" applyFont="1" applyFill="1" applyBorder="1"/>
    <x:xf numFmtId="201" fontId="0" fillId="10" borderId="0" xfId="0" applyNumberFormat="1" applyFont="1" applyFill="1" applyBorder="1"/>
    <x:xf numFmtId="0" fontId="11" fillId="7" borderId="0" xfId="0" applyNumberFormat="1" applyFont="1" applyFill="1" applyBorder="1" applyAlignment="1">
      <x:alignment vertical="center" wrapText="1"/>
    </x:xf>
    <x:xf numFmtId="201" fontId="0" fillId="10" borderId="0"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cellXfs>
  <x:cellStyles count="1">
    <x:cellStyle name="Normal" xfId="0"/>
  </x:cellStyles>
  <x:dxfs count="1">
    <x:dxf>
      <x:font>
        <x:color rgb="FF000000"/>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76eda598894372" /><Relationship Type="http://schemas.openxmlformats.org/officeDocument/2006/relationships/theme" Target="/xl/theme/theme1.xml" Id="R1de784cc97a049f0" /><Relationship Type="http://schemas.openxmlformats.org/officeDocument/2006/relationships/sharedStrings" Target="/xl/sharedStrings.xml" Id="R0948b1334e034970" /><Relationship Type="http://schemas.openxmlformats.org/officeDocument/2006/relationships/worksheet" Target="/xl/worksheets/sheet1.xml" Id="Rc8fbc600f0ed45a1" /><Relationship Type="http://schemas.openxmlformats.org/officeDocument/2006/relationships/worksheet" Target="/xl/worksheets/sheet2.xml" Id="R0adaf300cc0a47f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28b6c877dcd1493b" /><Relationship Type="http://schemas.openxmlformats.org/officeDocument/2006/relationships/vmlDrawing" Target="/xl/drawings/vmldrawing.vml" Id="R2d97db9539794714" /></Relationships>
</file>

<file path=xl/worksheets/sheet1.xml><?xml version="1.0" encoding="utf-8"?>
<x:worksheet xmlns:x="http://schemas.openxmlformats.org/spreadsheetml/2006/main">
  <x:sheetFormatPr defaultColWidth="13.5" defaultRowHeight="15.75"/>
  <x:cols>
    <x:col min="1" max="1" width="26.125" customWidth="1"/>
    <x:col min="2" max="2" width="34" hidden="0" customWidth="1"/>
    <x:col min="3" max="3" width="19.75" customWidth="1"/>
    <x:col min="4" max="4" width="23" customWidth="1"/>
    <x:col min="5" max="5" width="6.875" customWidth="1"/>
    <x:col min="6" max="6" width="34.75" customWidth="1"/>
    <x:col min="7" max="7" width="21.5" customWidth="1"/>
    <x:col min="8" max="8" width="9" customWidth="1"/>
  </x:cols>
  <x:sheetData>
    <x:row r="1" ht="30" customHeight="1">
      <x:c r="A1" s="73" t="str">
        <x:v>Power Budget – Pressure Sensor PCB (Provisional)</x:v>
      </x:c>
      <x:c r="B1" s="73"/>
      <x:c r="C1" s="73"/>
      <x:c r="D1" s="73"/>
      <x:c r="E1" s="73"/>
      <x:c r="F1" s="73"/>
      <x:c r="G1" s="73"/>
      <x:c r="H1" s="73"/>
    </x:row>
    <x:row r="2" ht="15" customHeight="1">
      <x:c r="A2" s="1" t="s">
        <x:v>0</x:v>
      </x:c>
      <x:c r="B2" s="2">
        <x:v>202</x:v>
      </x:c>
      <x:c r="D2" s="3"/>
      <x:c r="E2" s="3"/>
    </x:row>
    <x:row r="3" ht="15" customHeight="1">
      <x:c r="A3" s="4" t="s">
        <x:v>1</x:v>
      </x:c>
      <x:c r="B3" s="1" t="str">
        <x:v>Environmental Monitor — Pressure</x:v>
      </x:c>
      <x:c r="C3" s="5"/>
      <x:c r="D3" s="3"/>
      <x:c r="E3" s="3"/>
      <x:c r="F3" s="5"/>
      <x:c r="G3" s="5"/>
      <x:c r="H3" s="5"/>
    </x:row>
    <x:row r="4" ht="15" customHeight="1">
      <x:c r="A4" s="4" t="s">
        <x:v>2</x:v>
      </x:c>
      <x:c r="B4" s="1" t="s">
        <x:v>3</x:v>
      </x:c>
      <x:c r="C4" s="5"/>
      <x:c r="D4" s="3"/>
      <x:c r="E4" s="3"/>
      <x:c r="F4" s="5"/>
      <x:c r="G4" s="5"/>
      <x:c r="H4" s="5"/>
    </x:row>
    <x:row r="5" ht="15" customHeight="1">
      <x:c r="A5" s="4" t="s">
        <x:v>4</x:v>
      </x:c>
      <x:c r="B5" s="1">
        <x:v>1</x:v>
      </x:c>
      <x:c r="C5" s="5"/>
      <x:c r="D5" s="3"/>
      <x:c r="E5" s="3"/>
      <x:c r="F5" s="5"/>
      <x:c r="G5" s="5"/>
      <x:c r="H5" s="5"/>
    </x:row>
    <x:row r="6" ht="15" customHeight="1">
      <x:c r="A6" s="6"/>
      <x:c r="B6" s="5"/>
      <x:c r="C6" s="5"/>
      <x:c r="D6" s="3"/>
      <x:c r="E6" s="3"/>
      <x:c r="F6" s="5"/>
      <x:c r="G6" s="5"/>
      <x:c r="H6" s="5"/>
    </x:row>
    <x:row r="7" ht="15" customHeight="1">
      <x:c r="A7" s="60" t="s">
        <x:v>5</x:v>
      </x:c>
      <x:c r="B7" s="61"/>
      <x:c r="C7" s="61"/>
      <x:c r="D7" s="61"/>
      <x:c r="E7" s="61"/>
      <x:c r="F7" s="61"/>
      <x:c r="G7" s="61"/>
      <x:c r="H7" s="62"/>
    </x:row>
    <x:row r="8" ht="15" customHeight="1">
      <x:c r="A8" s="7" t="s">
        <x:v>6</x:v>
      </x:c>
      <x:c r="B8" s="8" t="s">
        <x:v>7</x:v>
      </x:c>
      <x:c r="C8" s="8" t="s">
        <x:v>8</x:v>
      </x:c>
      <x:c r="D8" s="9" t="s">
        <x:v>9</x:v>
      </x:c>
      <x:c r="E8" s="9" t="s">
        <x:v>10</x:v>
      </x:c>
      <x:c r="F8" s="10" t="s">
        <x:v>11</x:v>
      </x:c>
      <x:c r="G8" s="11" t="s">
        <x:v>12</x:v>
      </x:c>
      <x:c r="H8" s="11" t="s">
        <x:v>13</x:v>
      </x:c>
    </x:row>
    <x:row r="9" ht="15" customHeight="1">
      <x:c r="A9" s="12"/>
      <x:c r="B9" t="str">
        <x:v>PIC18F57Q43 Curiosity Nano</x:v>
      </x:c>
      <x:c r="C9" s="17" t="str">
        <x:v>DM164150</x:v>
      </x:c>
      <x:c r="D9" s="13" t="str">
        <x:v>1.8–5.5 V</x:v>
      </x:c>
      <x:c r="E9" s="14" t="n">
        <x:v>1</x:v>
      </x:c>
      <x:c r="F9" s="257" t="n">
        <x:v>20</x:v>
      </x:c>
      <x:c r="G9" s="15" t="n">
        <x:f>IF(F9="","",E9*F9)</x:f>
        <x:v>20</x:v>
      </x:c>
      <x:c r="H9" s="16" t="s">
        <x:v>14</x:v>
      </x:c>
    </x:row>
    <x:row r="10" ht="15" customHeight="1">
      <x:c r="A10" s="12"/>
      <x:c r="B10" s="54" t="str">
        <x:v>Absolute analog pressure sensor</x:v>
      </x:c>
      <x:c r="C10" s="17" t="str">
        <x:v>XGZP6878A15115KPA</x:v>
      </x:c>
      <x:c r="D10" s="18" t="str">
        <x:v>4.75–5.25 V</x:v>
      </x:c>
      <x:c r="E10" s="13" t="n">
        <x:v>1</x:v>
      </x:c>
      <x:c r="F10" s="258" t="n">
        <x:f>'Instructions &amp; Sources'!$B$27</x:f>
        <x:v>5</x:v>
      </x:c>
      <x:c r="G10" s="15" t="n">
        <x:f>IF(F10="","",E10*F10)</x:f>
        <x:v>5</x:v>
      </x:c>
      <x:c r="H10" s="16" t="s">
        <x:v>14</x:v>
      </x:c>
    </x:row>
    <x:row r="11" ht="15" customHeight="1">
      <x:c r="A11" s="12"/>
      <x:c r="B11" t="str">
        <x:v>Curiosity Nano support circuitry (USB off)</x:v>
      </x:c>
      <x:c r="C11" t="str">
        <x:v>Onboard level shifters</x:v>
      </x:c>
      <x:c r="D11" s="14" t="str">
        <x:v>External 5 V on VTG</x:v>
      </x:c>
      <x:c r="E11" s="14" t="n">
        <x:v>1</x:v>
      </x:c>
      <x:c r="F11" s="237" t="n">
        <x:v>0.005</x:v>
      </x:c>
      <x:c r="G11" s="238" t="n">
        <x:f>IF(F11="","",E11*F11)</x:f>
        <x:v>0.005</x:v>
      </x:c>
      <x:c r="H11" s="16" t="s">
        <x:v>14</x:v>
      </x:c>
    </x:row>
    <x:row r="12" ht="15" customHeight="1">
      <x:c r="A12" s="19"/>
      <x:c r="B12" s="6"/>
      <x:c r="C12" s="5"/>
      <x:c r="D12" s="20"/>
      <x:c r="E12" s="3"/>
      <x:c r="F12" s="5"/>
      <x:c r="G12" s="21" t="str">
        <x:f>IF(F12="","",E12*F12)</x:f>
      </x:c>
      <x:c r="H12" s="21" t="s">
        <x:v>14</x:v>
      </x:c>
    </x:row>
    <x:row r="13" ht="15" customHeight="1">
      <x:c r="A13" s="60" t="s">
        <x:v>15</x:v>
      </x:c>
      <x:c r="B13" s="61"/>
      <x:c r="C13" s="61"/>
      <x:c r="D13" s="61"/>
      <x:c r="E13" s="61"/>
      <x:c r="F13" s="61"/>
      <x:c r="G13" s="61"/>
      <x:c r="H13" s="62"/>
    </x:row>
    <x:row r="14" ht="15" customHeight="1">
      <x:c r="A14" s="22" t="str">
        <x:v>12 V rail (not used)</x:v>
      </x:c>
      <x:c r="B14" s="8" t="s">
        <x:v>7</x:v>
      </x:c>
      <x:c r="C14" s="8" t="s">
        <x:v>8</x:v>
      </x:c>
      <x:c r="D14" s="9" t="s">
        <x:v>9</x:v>
      </x:c>
      <x:c r="E14" s="9" t="s">
        <x:v>10</x:v>
      </x:c>
      <x:c r="F14" s="10" t="s">
        <x:v>11</x:v>
      </x:c>
      <x:c r="G14" s="11" t="s">
        <x:v>12</x:v>
      </x:c>
      <x:c r="H14" s="11" t="s">
        <x:v>13</x:v>
      </x:c>
    </x:row>
    <x:row r="15" ht="15" customHeight="1">
      <x:c r="A15" s="12"/>
      <x:c r="B15"/>
      <x:c r="C15"/>
      <x:c r="D15" s="13"/>
      <x:c r="E15" s="14"/>
      <x:c r="F15"/>
      <x:c r="G15" s="15"/>
      <x:c r="H15" s="16" t="s">
        <x:v>14</x:v>
      </x:c>
    </x:row>
    <x:row r="16" ht="15" customHeight="1">
      <x:c r="A16" s="12"/>
      <x:c r="B16"/>
      <x:c r="C16"/>
      <x:c r="D16" s="13"/>
      <x:c r="E16" s="14"/>
      <x:c r="F16"/>
      <x:c r="G16" s="15"/>
      <x:c r="H16" s="16" t="s">
        <x:v>14</x:v>
      </x:c>
    </x:row>
    <x:row r="17" ht="15" customHeight="1">
      <x:c r="A17" s="12"/>
      <x:c r="B17"/>
      <x:c r="C17"/>
      <x:c r="D17" s="14"/>
      <x:c r="E17" s="14"/>
      <x:c r="F17"/>
      <x:c r="G17" s="15"/>
      <x:c r="H17" s="16" t="s">
        <x:v>14</x:v>
      </x:c>
    </x:row>
    <x:row r="18" ht="15" customHeight="1">
      <x:c r="A18" s="12"/>
      <x:c r="B18"/>
      <x:c r="C18"/>
      <x:c r="D18" s="14"/>
      <x:c r="E18" s="14"/>
      <x:c r="F18"/>
      <x:c r="G18" s="15"/>
      <x:c r="H18" s="16" t="s">
        <x:v>14</x:v>
      </x:c>
    </x:row>
    <x:row r="19" ht="15" customHeight="1">
      <x:c r="A19" s="12"/>
      <x:c r="B19"/>
      <x:c r="C19"/>
      <x:c r="D19" s="14"/>
      <x:c r="E19" s="14"/>
      <x:c r="F19"/>
      <x:c r="G19" s="15"/>
      <x:c r="H19" s="16" t="s">
        <x:v>14</x:v>
      </x:c>
    </x:row>
    <x:row r="20" ht="15" customHeight="1">
      <x:c r="A20" s="12"/>
      <x:c r="B20" s="67" t="s">
        <x:v>16</x:v>
      </x:c>
      <x:c r="C20" s="67"/>
      <x:c r="D20" s="67"/>
      <x:c r="E20" s="67"/>
      <x:c r="F20" s="68"/>
      <x:c r="G20" s="15"/>
      <x:c r="H20" s="16" t="s">
        <x:v>14</x:v>
      </x:c>
    </x:row>
    <x:row r="21" ht="15" customHeight="1">
      <x:c r="A21" s="12"/>
      <x:c r="B21" s="67" t="s">
        <x:v>17</x:v>
      </x:c>
      <x:c r="C21" s="67"/>
      <x:c r="D21" s="67"/>
      <x:c r="E21" s="67"/>
      <x:c r="F21" s="68"/>
      <x:c r="G21" s="24"/>
      <x:c r="H21" s="24"/>
    </x:row>
    <x:row r="22" ht="15" customHeight="1">
      <x:c r="A22" s="25"/>
      <x:c r="B22" s="69" t="s">
        <x:v>18</x:v>
      </x:c>
      <x:c r="C22" s="69"/>
      <x:c r="D22" s="69"/>
      <x:c r="E22" s="69"/>
      <x:c r="F22" s="70"/>
      <x:c r="G22" s="15"/>
      <x:c r="H22" s="16" t="s">
        <x:v>14</x:v>
      </x:c>
    </x:row>
    <x:row r="23" ht="15" customHeight="1">
      <x:c r="A23" s="26"/>
      <x:c r="B23" s="27"/>
      <x:c r="C23" s="27"/>
      <x:c r="D23" s="13"/>
      <x:c r="E23" s="13"/>
      <x:c r="F23" s="28"/>
      <x:c r="G23" s="29"/>
      <x:c r="H23" s="15"/>
    </x:row>
    <x:row r="24" ht="15" customHeight="1">
      <x:c r="A24" s="26" t="s">
        <x:v>19</x:v>
      </x:c>
      <x:c r="B24" s="27"/>
      <x:c r="C24" s="27"/>
      <x:c r="D24" s="13"/>
      <x:c r="E24" s="13"/>
      <x:c r="F24" s="28"/>
      <x:c r="G24" s="29"/>
      <x:c r="H24" s="16" t="s">
        <x:v>14</x:v>
      </x:c>
    </x:row>
    <x:row r="25" ht="15" customHeight="1">
      <x:c r="A25" s="30"/>
      <x:c r="B25" s="71" t="s">
        <x:v>20</x:v>
      </x:c>
      <x:c r="C25" s="71"/>
      <x:c r="D25" s="71"/>
      <x:c r="E25" s="71"/>
      <x:c r="F25" s="72"/>
      <x:c r="G25" s="29"/>
      <x:c r="H25" s="16" t="s">
        <x:v>14</x:v>
      </x:c>
    </x:row>
    <x:row r="26" ht="15" customHeight="1">
      <x:c r="A26" s="22" t="s">
        <x:v>21</x:v>
      </x:c>
      <x:c r="B26" s="8" t="s">
        <x:v>7</x:v>
      </x:c>
      <x:c r="C26" s="8" t="s">
        <x:v>8</x:v>
      </x:c>
      <x:c r="D26" s="9" t="s">
        <x:v>9</x:v>
      </x:c>
      <x:c r="E26" s="9" t="s">
        <x:v>10</x:v>
      </x:c>
      <x:c r="F26" s="10" t="s">
        <x:v>11</x:v>
      </x:c>
      <x:c r="G26" s="31" t="s">
        <x:v>12</x:v>
      </x:c>
      <x:c r="H26" s="31" t="s">
        <x:v>13</x:v>
      </x:c>
    </x:row>
    <x:row r="27" ht="15" customHeight="1">
      <x:c r="A27" s="12"/>
      <x:c r="B27" t="str">
        <x:v>PIC18F57Q43 Curiosity Nano</x:v>
      </x:c>
      <x:c r="C27" t="str">
        <x:v>DM164150</x:v>
      </x:c>
      <x:c r="D27" s="14" t="str">
        <x:v>1.8–5.5 V</x:v>
      </x:c>
      <x:c r="E27" s="14" t="n">
        <x:v>1</x:v>
      </x:c>
      <x:c r="F27" s="257" t="n">
        <x:v>20</x:v>
      </x:c>
      <x:c r="G27" s="15" t="n">
        <x:f>IF(F27="","",E27*F27)</x:f>
        <x:v>20</x:v>
      </x:c>
      <x:c r="H27" s="16" t="s">
        <x:v>14</x:v>
      </x:c>
    </x:row>
    <x:row r="28" ht="15" customHeight="1">
      <x:c r="A28" s="12"/>
      <x:c r="B28" s="17" t="str">
        <x:v>Absolute analog pressure sensor</x:v>
      </x:c>
      <x:c r="C28" s="17" t="str">
        <x:v>XGZP6878A15115KPA</x:v>
      </x:c>
      <x:c r="D28" s="13" t="str">
        <x:v>4.75–5.25 V</x:v>
      </x:c>
      <x:c r="E28" s="13" t="n">
        <x:v>1</x:v>
      </x:c>
      <x:c r="F28" s="258" t="n">
        <x:f>'Instructions &amp; Sources'!$B$27</x:f>
        <x:v>5</x:v>
      </x:c>
      <x:c r="G28" s="15" t="n">
        <x:f>IF(F28="","",E28*F28)</x:f>
        <x:v>5</x:v>
      </x:c>
      <x:c r="H28" s="16" t="s">
        <x:v>14</x:v>
      </x:c>
    </x:row>
    <x:row r="29" ht="15" customHeight="1">
      <x:c r="A29" s="12"/>
      <x:c r="B29" t="str">
        <x:v>Curiosity Nano support circuitry (USB off)</x:v>
      </x:c>
      <x:c r="C29" t="str">
        <x:v>Onboard level shifters</x:v>
      </x:c>
      <x:c r="D29" s="14" t="str">
        <x:v>External 5 V on VTG</x:v>
      </x:c>
      <x:c r="E29" s="14" t="n">
        <x:v>1</x:v>
      </x:c>
      <x:c r="F29" s="237" t="n">
        <x:v>0.005</x:v>
      </x:c>
      <x:c r="G29" s="238" t="n">
        <x:f>IF(F29="","",E29*F29)</x:f>
        <x:v>0.005</x:v>
      </x:c>
      <x:c r="H29" s="16" t="s">
        <x:v>14</x:v>
      </x:c>
    </x:row>
    <x:row r="30" ht="15" customHeight="1">
      <x:c r="A30" s="12"/>
      <x:c r="B30"/>
      <x:c r="C30"/>
      <x:c r="D30" s="14"/>
      <x:c r="E30" s="14"/>
      <x:c r="F30"/>
      <x:c r="G30" s="15" t="str">
        <x:f>IF(F30="","",E30*F30)</x:f>
      </x:c>
      <x:c r="H30" s="16" t="s">
        <x:v>14</x:v>
      </x:c>
    </x:row>
    <x:row r="31" ht="15" customHeight="1">
      <x:c r="A31" s="12"/>
      <x:c r="B31"/>
      <x:c r="C31"/>
      <x:c r="D31" s="14"/>
      <x:c r="E31" s="14"/>
      <x:c r="F31"/>
      <x:c r="G31" s="15" t="str">
        <x:f>IF(F31="","",E31*F31)</x:f>
      </x:c>
      <x:c r="H31" s="16" t="s">
        <x:v>14</x:v>
      </x:c>
    </x:row>
    <x:row r="32" ht="15" customHeight="1">
      <x:c r="A32" s="12"/>
      <x:c r="B32" s="67" t="s">
        <x:v>16</x:v>
      </x:c>
      <x:c r="C32" s="67"/>
      <x:c r="D32" s="67"/>
      <x:c r="E32" s="67"/>
      <x:c r="F32" s="68"/>
      <x:c r="G32" s="15" t="n">
        <x:f>IF(COUNT(F27:F29)&lt;3,"",SUM(G27:G31))</x:f>
        <x:v>25.005</x:v>
      </x:c>
      <x:c r="H32" s="16" t="s">
        <x:v>14</x:v>
      </x:c>
    </x:row>
    <x:row r="33" ht="15" customHeight="1">
      <x:c r="A33" s="12"/>
      <x:c r="B33" s="67" t="s">
        <x:v>17</x:v>
      </x:c>
      <x:c r="C33" s="67"/>
      <x:c r="D33" s="67"/>
      <x:c r="E33" s="67"/>
      <x:c r="F33" s="68"/>
      <x:c r="G33" s="24" t="n">
        <x:v>0.25</x:v>
      </x:c>
      <x:c r="H33" s="24"/>
    </x:row>
    <x:row r="34" ht="15" customHeight="1">
      <x:c r="A34" s="25"/>
      <x:c r="B34" s="69" t="s">
        <x:v>22</x:v>
      </x:c>
      <x:c r="C34" s="69"/>
      <x:c r="D34" s="69"/>
      <x:c r="E34" s="69"/>
      <x:c r="F34" s="70"/>
      <x:c r="G34" s="15" t="n">
        <x:f>IF(G32="","",G32*(1+G33))</x:f>
        <x:v>31.256249999999998</x:v>
      </x:c>
      <x:c r="H34" s="16" t="s">
        <x:v>14</x:v>
      </x:c>
    </x:row>
    <x:row r="35" ht="15" customHeight="1">
      <x:c r="A35" s="26"/>
      <x:c r="B35" s="27"/>
      <x:c r="C35" s="27"/>
      <x:c r="D35" s="13"/>
      <x:c r="E35" s="13"/>
      <x:c r="F35" s="28"/>
      <x:c r="G35" s="29"/>
      <x:c r="H35" s="15"/>
    </x:row>
    <x:row r="36" ht="15" customHeight="1">
      <x:c r="A36" s="26" t="s">
        <x:v>23</x:v>
      </x:c>
      <x:c r="B36" s="27" t="str">
        <x:v>+5 V linear regulator</x:v>
      </x:c>
      <x:c r="C36" s="27" t="str">
        <x:v>L7805ABV-DG</x:v>
      </x:c>
      <x:c r="D36" s="13" t="str">
        <x:v>Input approx. 7–35 V</x:v>
      </x:c>
      <x:c r="E36" s="13" t="n">
        <x:v>1</x:v>
      </x:c>
      <x:c r="F36" s="150" t="n">
        <x:v>1500</x:v>
      </x:c>
      <x:c r="G36" s="29" t="n">
        <x:f>IF(F36="","",E36*F36)</x:f>
        <x:v>1500</x:v>
      </x:c>
      <x:c r="H36" s="16" t="s">
        <x:v>14</x:v>
      </x:c>
    </x:row>
    <x:row r="37" ht="15" customHeight="1">
      <x:c r="A37" s="30"/>
      <x:c r="B37" s="71" t="s">
        <x:v>24</x:v>
      </x:c>
      <x:c r="C37" s="71"/>
      <x:c r="D37" s="71"/>
      <x:c r="E37" s="71"/>
      <x:c r="F37" s="72"/>
      <x:c r="G37" s="29" t="n">
        <x:f>IF(G34="","",G36-G34)</x:f>
        <x:v>1468.74375</x:v>
      </x:c>
      <x:c r="H37" s="16" t="s">
        <x:v>14</x:v>
      </x:c>
    </x:row>
    <x:row r="38" ht="15" customHeight="1">
      <x:c r="A38" s="22" t="str">
        <x:v>−5 V rail (not used)</x:v>
      </x:c>
      <x:c r="B38" s="8"/>
      <x:c r="C38" s="8"/>
      <x:c r="D38" s="9"/>
      <x:c r="E38" s="9"/>
      <x:c r="F38" s="10"/>
      <x:c r="G38" s="31"/>
      <x:c r="H38" s="31" t="s">
        <x:v>13</x:v>
      </x:c>
    </x:row>
    <x:row r="39" ht="15" customHeight="1">
      <x:c r="A39" s="12"/>
      <x:c r="B39" s="17"/>
      <x:c r="C39"/>
      <x:c r="D39" s="13"/>
      <x:c r="E39" s="14"/>
      <x:c r="F39" s="17"/>
      <x:c r="G39" s="16"/>
      <x:c r="H39" s="16" t="s">
        <x:v>14</x:v>
      </x:c>
    </x:row>
    <x:row r="40" ht="15" customHeight="1">
      <x:c r="A40" s="12"/>
      <x:c r="B40"/>
      <x:c r="C40"/>
      <x:c r="D40" s="14"/>
      <x:c r="E40" s="14"/>
      <x:c r="F40"/>
      <x:c r="G40" s="15"/>
      <x:c r="H40" s="16" t="s">
        <x:v>14</x:v>
      </x:c>
    </x:row>
    <x:row r="41" ht="15" customHeight="1">
      <x:c r="A41" s="12"/>
      <x:c r="B41"/>
      <x:c r="C41"/>
      <x:c r="D41" s="14"/>
      <x:c r="E41" s="14"/>
      <x:c r="F41"/>
      <x:c r="G41" s="15"/>
      <x:c r="H41" s="16" t="s">
        <x:v>14</x:v>
      </x:c>
    </x:row>
    <x:row r="42" ht="15" customHeight="1">
      <x:c r="A42" s="12"/>
      <x:c r="B42"/>
      <x:c r="C42"/>
      <x:c r="D42" s="14"/>
      <x:c r="E42" s="14"/>
      <x:c r="F42"/>
      <x:c r="G42" s="15"/>
      <x:c r="H42" s="16" t="s">
        <x:v>14</x:v>
      </x:c>
    </x:row>
    <x:row r="43" ht="15" customHeight="1">
      <x:c r="A43" s="12"/>
      <x:c r="B43" s="67" t="s">
        <x:v>16</x:v>
      </x:c>
      <x:c r="C43" s="67"/>
      <x:c r="D43" s="67"/>
      <x:c r="E43" s="67"/>
      <x:c r="F43" s="68"/>
      <x:c r="G43" s="15"/>
      <x:c r="H43" s="16" t="s">
        <x:v>14</x:v>
      </x:c>
    </x:row>
    <x:row r="44" ht="15" customHeight="1">
      <x:c r="A44" s="12"/>
      <x:c r="B44" s="67" t="s">
        <x:v>17</x:v>
      </x:c>
      <x:c r="C44" s="67"/>
      <x:c r="D44" s="67"/>
      <x:c r="E44" s="67"/>
      <x:c r="F44" s="68"/>
      <x:c r="G44" s="24"/>
      <x:c r="H44" s="24"/>
    </x:row>
    <x:row r="45" ht="15" customHeight="1">
      <x:c r="A45" s="12"/>
      <x:c r="B45" s="69" t="s">
        <x:v>25</x:v>
      </x:c>
      <x:c r="C45" s="69"/>
      <x:c r="D45" s="69"/>
      <x:c r="E45" s="69"/>
      <x:c r="F45" s="70"/>
      <x:c r="G45" s="15"/>
      <x:c r="H45" s="16" t="s">
        <x:v>14</x:v>
      </x:c>
    </x:row>
    <x:row r="46" ht="15" customHeight="1">
      <x:c r="A46" s="26"/>
      <x:c r="B46" s="27"/>
      <x:c r="C46" s="27"/>
      <x:c r="D46" s="13"/>
      <x:c r="E46" s="13"/>
      <x:c r="F46" s="28"/>
      <x:c r="G46" s="29"/>
      <x:c r="H46" s="15"/>
    </x:row>
    <x:row r="47" ht="15" customHeight="1">
      <x:c r="A47" s="26" t="s">
        <x:v>26</x:v>
      </x:c>
      <x:c r="B47" s="27"/>
      <x:c r="C47" s="27"/>
      <x:c r="D47" s="13"/>
      <x:c r="E47" s="13"/>
      <x:c r="F47" s="28"/>
      <x:c r="G47" s="29"/>
      <x:c r="H47" s="16" t="s">
        <x:v>14</x:v>
      </x:c>
    </x:row>
    <x:row r="48" ht="15" customHeight="1">
      <x:c r="A48" s="30"/>
      <x:c r="B48" s="71" t="s">
        <x:v>27</x:v>
      </x:c>
      <x:c r="C48" s="71"/>
      <x:c r="D48" s="71"/>
      <x:c r="E48" s="71"/>
      <x:c r="F48" s="72"/>
      <x:c r="G48" s="29"/>
      <x:c r="H48" s="16" t="s">
        <x:v>14</x:v>
      </x:c>
    </x:row>
    <x:row r="49" ht="15" customHeight="1">
      <x:c r="A49" s="22" t="str">
        <x:v>3.3 V rail (not used)</x:v>
      </x:c>
      <x:c r="B49" s="8" t="s">
        <x:v>7</x:v>
      </x:c>
      <x:c r="C49" s="8" t="s">
        <x:v>8</x:v>
      </x:c>
      <x:c r="D49" s="9" t="s">
        <x:v>9</x:v>
      </x:c>
      <x:c r="E49" s="9" t="s">
        <x:v>10</x:v>
      </x:c>
      <x:c r="F49" s="10" t="s">
        <x:v>11</x:v>
      </x:c>
      <x:c r="G49" s="31" t="s">
        <x:v>12</x:v>
      </x:c>
      <x:c r="H49" s="31" t="s">
        <x:v>13</x:v>
      </x:c>
    </x:row>
    <x:row r="50" ht="15" customHeight="1">
      <x:c r="A50" s="12"/>
      <x:c r="B50" s="17"/>
      <x:c r="C50"/>
      <x:c r="D50" s="13"/>
      <x:c r="E50" s="14"/>
      <x:c r="F50"/>
      <x:c r="G50" s="15"/>
      <x:c r="H50" s="16" t="s">
        <x:v>14</x:v>
      </x:c>
    </x:row>
    <x:row r="51" ht="15" customHeight="1">
      <x:c r="A51" s="12"/>
      <x:c r="B51"/>
      <x:c r="C51"/>
      <x:c r="D51" s="14"/>
      <x:c r="E51" s="14"/>
      <x:c r="F51"/>
      <x:c r="G51" s="15"/>
      <x:c r="H51" s="16" t="s">
        <x:v>14</x:v>
      </x:c>
    </x:row>
    <x:row r="52" ht="15" customHeight="1">
      <x:c r="A52" s="12"/>
      <x:c r="B52"/>
      <x:c r="C52"/>
      <x:c r="D52" s="14"/>
      <x:c r="E52" s="14"/>
      <x:c r="F52"/>
      <x:c r="G52" s="15"/>
      <x:c r="H52" s="16" t="s">
        <x:v>14</x:v>
      </x:c>
    </x:row>
    <x:row r="53" ht="15" customHeight="1">
      <x:c r="A53" s="12"/>
      <x:c r="B53"/>
      <x:c r="C53"/>
      <x:c r="D53" s="14"/>
      <x:c r="E53" s="14"/>
      <x:c r="F53"/>
      <x:c r="G53" s="15"/>
      <x:c r="H53" s="16" t="s">
        <x:v>14</x:v>
      </x:c>
    </x:row>
    <x:row r="54" ht="15" customHeight="1">
      <x:c r="A54" s="12"/>
      <x:c r="B54" s="67" t="s">
        <x:v>16</x:v>
      </x:c>
      <x:c r="C54" s="67"/>
      <x:c r="D54" s="67"/>
      <x:c r="E54" s="67"/>
      <x:c r="F54" s="68"/>
      <x:c r="G54" s="15"/>
      <x:c r="H54" s="16" t="s">
        <x:v>14</x:v>
      </x:c>
    </x:row>
    <x:row r="55" ht="15" customHeight="1">
      <x:c r="A55" s="12"/>
      <x:c r="B55" s="67" t="s">
        <x:v>17</x:v>
      </x:c>
      <x:c r="C55" s="67"/>
      <x:c r="D55" s="67"/>
      <x:c r="E55" s="67"/>
      <x:c r="F55" s="68"/>
      <x:c r="G55" s="24"/>
      <x:c r="H55" s="24"/>
    </x:row>
    <x:row r="56" ht="15" customHeight="1">
      <x:c r="A56" s="12"/>
      <x:c r="B56" s="69" t="s">
        <x:v>28</x:v>
      </x:c>
      <x:c r="C56" s="69"/>
      <x:c r="D56" s="69"/>
      <x:c r="E56" s="69"/>
      <x:c r="F56" s="70"/>
      <x:c r="G56" s="15"/>
      <x:c r="H56" s="16" t="s">
        <x:v>14</x:v>
      </x:c>
    </x:row>
    <x:row r="57" ht="15" customHeight="1">
      <x:c r="A57" s="26"/>
      <x:c r="B57" s="17"/>
      <x:c r="D57" s="13"/>
      <x:c r="E57" s="14"/>
      <x:c r="G57" s="15"/>
      <x:c r="H57" s="21"/>
    </x:row>
    <x:row r="58" ht="15" customHeight="1">
      <x:c r="A58" s="26" t="s">
        <x:v>29</x:v>
      </x:c>
      <x:c r="B58" s="17"/>
      <x:c r="C58"/>
      <x:c r="D58" s="13"/>
      <x:c r="E58" s="14"/>
      <x:c r="F58"/>
      <x:c r="G58" s="15"/>
      <x:c r="H58" s="16" t="s">
        <x:v>14</x:v>
      </x:c>
    </x:row>
    <x:row r="59" ht="15" customHeight="1">
      <x:c r="A59" s="12"/>
      <x:c r="B59" s="64" t="s">
        <x:v>30</x:v>
      </x:c>
      <x:c r="C59" s="64"/>
      <x:c r="D59" s="64"/>
      <x:c r="E59" s="64"/>
      <x:c r="F59" s="65"/>
      <x:c r="G59" s="29"/>
      <x:c r="H59" s="16" t="s">
        <x:v>14</x:v>
      </x:c>
    </x:row>
    <x:row r="60" ht="15" customHeight="1">
      <x:c r="A60" s="32"/>
      <x:c r="B60" s="33"/>
      <x:c r="C60" s="33"/>
      <x:c r="D60" s="33"/>
      <x:c r="E60" s="33"/>
      <x:c r="F60" s="33"/>
      <x:c r="G60" s="34"/>
      <x:c r="H60" s="35"/>
    </x:row>
    <x:row r="61" ht="15" customHeight="1">
      <x:c r="A61" s="60" t="s">
        <x:v>31</x:v>
      </x:c>
      <x:c r="B61" s="61"/>
      <x:c r="C61" s="61"/>
      <x:c r="D61" s="61"/>
      <x:c r="E61" s="61"/>
      <x:c r="F61" s="61"/>
      <x:c r="G61" s="61"/>
      <x:c r="H61" s="62"/>
    </x:row>
    <x:row r="62" ht="15" customHeight="1">
      <x:c r="A62" s="55"/>
      <x:c r="B62" s="56"/>
      <x:c r="C62" s="56"/>
      <x:c r="D62" s="56"/>
      <x:c r="E62" s="56"/>
      <x:c r="F62" s="56"/>
      <x:c r="G62" s="56"/>
      <x:c r="H62" s="57"/>
    </x:row>
    <x:row r="63" ht="15" customHeight="1">
      <x:c r="A63" s="60" t="s">
        <x:v>32</x:v>
      </x:c>
      <x:c r="B63" s="61"/>
      <x:c r="C63" s="61"/>
      <x:c r="D63" s="61"/>
      <x:c r="E63" s="61"/>
      <x:c r="F63" s="61"/>
      <x:c r="G63" s="61"/>
      <x:c r="H63" s="62"/>
    </x:row>
    <x:row r="64" ht="15" customHeight="1">
      <x:c r="A64" s="22" t="s">
        <x:v>33</x:v>
      </x:c>
      <x:c r="B64" s="8" t="s">
        <x:v>7</x:v>
      </x:c>
      <x:c r="C64" s="8" t="s">
        <x:v>8</x:v>
      </x:c>
      <x:c r="D64" s="9" t="s">
        <x:v>9</x:v>
      </x:c>
      <x:c r="E64" s="36" t="s">
        <x:v>34</x:v>
      </x:c>
      <x:c r="F64" s="10" t="s">
        <x:v>11</x:v>
      </x:c>
      <x:c r="G64" s="31" t="s">
        <x:v>12</x:v>
      </x:c>
      <x:c r="H64" s="31" t="s">
        <x:v>13</x:v>
      </x:c>
    </x:row>
    <x:row r="65" ht="15" customHeight="1">
      <x:c r="A65" s="37" t="s">
        <x:v>35</x:v>
      </x:c>
      <x:c r="B65" s="27" t="str">
        <x:v>9 V regulated wall adapter – Pololu</x:v>
      </x:c>
      <x:c r="C65" s="13" t="str">
        <x:v>1470</x:v>
      </x:c>
      <x:c r="D65" s="13" t="str">
        <x:v>100–240 V AC</x:v>
      </x:c>
      <x:c r="E65" s="13" t="str">
        <x:v>+9 V DC</x:v>
      </x:c>
      <x:c r="F65" s="148" t="n">
        <x:v>1000</x:v>
      </x:c>
      <x:c r="G65" s="38" t="n">
        <x:f>IF(F65="","",F65)</x:f>
        <x:v>1000</x:v>
      </x:c>
      <x:c r="H65" s="39" t="s">
        <x:v>14</x:v>
      </x:c>
    </x:row>
    <x:row r="66" ht="15" customHeight="1">
      <x:c r="A66" s="40"/>
      <x:c r="B66" s="27"/>
      <x:c r="C66" s="27"/>
      <x:c r="D66" s="13"/>
      <x:c r="E66" s="13"/>
      <x:c r="F66" s="28"/>
      <x:c r="G66" s="29"/>
      <x:c r="H66" s="41"/>
    </x:row>
    <x:row r="67" ht="15" customHeight="1">
      <x:c r="A67" s="63" t="s">
        <x:v>36</x:v>
      </x:c>
      <x:c r="B67" s="27" t="str">
        <x:v>+5 V L7805 regulator</x:v>
      </x:c>
      <x:c r="C67" s="27" t="str">
        <x:v>L7805ABV-DG</x:v>
      </x:c>
      <x:c r="D67" s="13" t="str">
        <x:v>9 V input</x:v>
      </x:c>
      <x:c r="E67" s="13" t="n">
        <x:v>1</x:v>
      </x:c>
      <x:c r="F67" s="148" t="n">
        <x:f>IF(G34="","",G34+'Instructions &amp; Sources'!$B$38)</x:f>
        <x:v>39.256249999999994</x:v>
      </x:c>
      <x:c r="G67" s="29" t="n">
        <x:f>IF(F67="","",E67*F67)</x:f>
        <x:v>39.256249999999994</x:v>
      </x:c>
      <x:c r="H67" s="16" t="s">
        <x:v>14</x:v>
      </x:c>
    </x:row>
    <x:row r="68" ht="15" customHeight="1">
      <x:c r="A68" s="63"/>
      <x:c r="B68" s="27"/>
      <x:c r="C68" s="27"/>
      <x:c r="D68" s="13"/>
      <x:c r="E68" s="13"/>
      <x:c r="F68" s="28"/>
      <x:c r="G68" s="29"/>
      <x:c r="H68" s="16" t="s">
        <x:v>14</x:v>
      </x:c>
    </x:row>
    <x:row r="69" ht="15" customHeight="1">
      <x:c r="A69" s="63"/>
      <x:c r="B69" s="17"/>
      <x:c r="C69"/>
      <x:c r="D69" s="13"/>
      <x:c r="E69" s="14"/>
      <x:c r="F69"/>
      <x:c r="G69" s="15"/>
      <x:c r="H69" s="16" t="s">
        <x:v>14</x:v>
      </x:c>
    </x:row>
    <x:row r="70" ht="15" customHeight="1">
      <x:c r="A70" s="40"/>
      <x:c r="B70" s="64" t="s">
        <x:v>37</x:v>
      </x:c>
      <x:c r="C70" s="64"/>
      <x:c r="D70" s="64"/>
      <x:c r="E70" s="64"/>
      <x:c r="F70" s="65"/>
      <x:c r="G70" s="38" t="n">
        <x:f>IF(OR(G65="",G67=""),"",G65-SUM(G67:G69))</x:f>
        <x:v>960.74375</x:v>
      </x:c>
      <x:c r="H70" s="39" t="s">
        <x:v>14</x:v>
      </x:c>
    </x:row>
    <x:row r="71" ht="15" customHeight="1">
      <x:c r="A71" s="40"/>
      <x:c r="B71" s="3"/>
      <x:c r="C71" s="3"/>
      <x:c r="D71" s="20"/>
      <x:c r="E71" s="20"/>
      <x:c r="F71" s="20"/>
      <x:c r="G71" s="42"/>
      <x:c r="H71" s="43"/>
    </x:row>
    <x:row r="72" ht="15" customHeight="1">
      <x:c r="A72" s="22" t="str">
        <x:v>External Power Source 2 — not used</x:v>
      </x:c>
      <x:c r="B72" s="8" t="s">
        <x:v>7</x:v>
      </x:c>
      <x:c r="C72" s="8" t="s">
        <x:v>8</x:v>
      </x:c>
      <x:c r="D72" s="9" t="s">
        <x:v>9</x:v>
      </x:c>
      <x:c r="E72" s="36" t="s">
        <x:v>34</x:v>
      </x:c>
      <x:c r="F72" s="10" t="s">
        <x:v>11</x:v>
      </x:c>
      <x:c r="G72" s="31" t="s">
        <x:v>12</x:v>
      </x:c>
      <x:c r="H72" s="31" t="s">
        <x:v>13</x:v>
      </x:c>
    </x:row>
    <x:row r="73" ht="15" customHeight="1">
      <x:c r="A73" s="37" t="s">
        <x:v>38</x:v>
      </x:c>
      <x:c r="B73" s="27"/>
      <x:c r="C73" s="13"/>
      <x:c r="D73" s="13"/>
      <x:c r="E73" s="13"/>
      <x:c r="F73" s="28"/>
      <x:c r="G73" s="38"/>
      <x:c r="H73" s="39" t="s">
        <x:v>14</x:v>
      </x:c>
    </x:row>
    <x:row r="74" ht="15" customHeight="1">
      <x:c r="A74" s="40"/>
      <x:c r="B74" s="27"/>
      <x:c r="C74" s="27"/>
      <x:c r="D74" s="13"/>
      <x:c r="E74" s="13"/>
      <x:c r="F74" s="28"/>
      <x:c r="G74" s="29"/>
      <x:c r="H74" s="41"/>
    </x:row>
    <x:row r="75" ht="15" customHeight="1">
      <x:c r="A75" s="63" t="s">
        <x:v>39</x:v>
      </x:c>
      <x:c r="B75" s="27"/>
      <x:c r="C75" s="27"/>
      <x:c r="D75" s="13"/>
      <x:c r="E75" s="13"/>
      <x:c r="F75" s="28"/>
      <x:c r="G75" s="29"/>
      <x:c r="H75" s="16" t="s">
        <x:v>14</x:v>
      </x:c>
    </x:row>
    <x:row r="76" ht="15" customHeight="1">
      <x:c r="A76" s="63"/>
      <x:c r="B76" s="27"/>
      <x:c r="C76" s="27"/>
      <x:c r="D76" s="13"/>
      <x:c r="E76" s="13"/>
      <x:c r="F76" s="28"/>
      <x:c r="G76" s="29"/>
      <x:c r="H76" s="16"/>
    </x:row>
    <x:row r="77" ht="15" customHeight="1">
      <x:c r="A77" s="63"/>
      <x:c r="B77" s="17"/>
      <x:c r="C77"/>
      <x:c r="D77" s="13"/>
      <x:c r="E77" s="14"/>
      <x:c r="F77"/>
      <x:c r="G77" s="15"/>
      <x:c r="H77" s="16"/>
    </x:row>
    <x:row r="78" ht="15" customHeight="1">
      <x:c r="A78" s="40"/>
      <x:c r="B78" s="64" t="s">
        <x:v>40</x:v>
      </x:c>
      <x:c r="C78" s="64"/>
      <x:c r="D78" s="64"/>
      <x:c r="E78" s="64"/>
      <x:c r="F78" s="65"/>
      <x:c r="G78" s="38"/>
      <x:c r="H78" s="39" t="s">
        <x:v>14</x:v>
      </x:c>
    </x:row>
    <x:row r="79" ht="15" customHeight="1">
      <x:c r="A79" s="25"/>
      <x:c r="B79" s="17"/>
      <x:c r="D79" s="44"/>
      <x:c r="E79" s="13"/>
      <x:c r="F79" s="17"/>
      <x:c r="G79" s="15"/>
      <x:c r="H79" s="45"/>
    </x:row>
    <x:row r="80" ht="15" customHeight="1">
      <x:c r="A80" s="60" t="str">
        <x:v>E. Battery Life — not applicable for wall adapter</x:v>
      </x:c>
      <x:c r="B80" s="61"/>
      <x:c r="C80" s="61"/>
      <x:c r="D80" s="61"/>
      <x:c r="E80" s="61"/>
      <x:c r="F80" s="62"/>
      <x:c r="G80" s="46"/>
      <x:c r="H80" s="46"/>
    </x:row>
    <x:row r="81" ht="15" customHeight="1">
      <x:c r="A81" s="47"/>
      <x:c r="B81" s="48"/>
      <x:c r="C81" s="48"/>
      <x:c r="D81" s="49"/>
      <x:c r="E81" s="49"/>
      <x:c r="F81" s="50"/>
      <x:c r="G81" s="51"/>
      <x:c r="H81" s="52"/>
    </x:row>
    <x:row r="82" ht="15" customHeight="1">
      <x:c r="A82" s="12"/>
      <x:c r="B82"/>
      <x:c r="C82"/>
      <x:c r="D82" s="13"/>
      <x:c r="E82" s="14"/>
      <x:c r="F82" s="17"/>
      <x:c r="G82" s="15"/>
      <x:c r="H82" s="15"/>
    </x:row>
    <x:row r="83" ht="15" customHeight="1">
      <x:c r="A83" s="12"/>
      <x:c r="B83" t="str">
        <x:v>No battery in current design</x:v>
      </x:c>
      <x:c r="D83" s="14"/>
      <x:c r="E83" s="14"/>
      <x:c r="F83" s="23" t="s">
        <x:v>41</x:v>
      </x:c>
      <x:c r="G83" s="15"/>
      <x:c r="H83" s="16" t="s">
        <x:v>42</x:v>
      </x:c>
    </x:row>
    <x:row r="84" ht="15" customHeight="1">
      <x:c r="A84" s="66" t="s">
        <x:v>43</x:v>
      </x:c>
      <x:c r="B84" s="66"/>
      <x:c r="C84" s="66"/>
      <x:c r="D84" s="66"/>
      <x:c r="E84" s="66"/>
      <x:c r="F84" s="66"/>
      <x:c r="G84" s="53"/>
      <x:c r="H84" s="53"/>
    </x:row>
    <x:row r="85" ht="15" customHeight="1">
      <x:c r="A85" s="58" t="s">
        <x:v>44</x:v>
      </x:c>
      <x:c r="B85" s="58"/>
      <x:c r="C85" s="58"/>
      <x:c r="D85" s="58"/>
      <x:c r="E85" s="58"/>
      <x:c r="F85" s="58"/>
      <x:c r="G85" s="58"/>
      <x:c r="H85" s="58"/>
    </x:row>
    <x:row r="86" ht="15" customHeight="1">
      <x:c r="A86" s="59" t="s">
        <x:v>45</x:v>
      </x:c>
      <x:c r="B86" s="59"/>
      <x:c r="C86" s="59"/>
      <x:c r="D86" s="59"/>
      <x:c r="E86" s="59"/>
      <x:c r="F86" s="59"/>
      <x:c r="G86" s="59"/>
      <x:c r="H86" s="59"/>
    </x:row>
  </x:sheetData>
  <x:mergeCells>
    <x:mergeCell ref="A1:H1"/>
    <x:mergeCell ref="A7:H7"/>
    <x:mergeCell ref="A13:H13"/>
    <x:mergeCell ref="B20:F20"/>
    <x:mergeCell ref="B21:F21"/>
    <x:mergeCell ref="B22:F22"/>
    <x:mergeCell ref="B25:F25"/>
    <x:mergeCell ref="B32:F32"/>
    <x:mergeCell ref="B33:F33"/>
    <x:mergeCell ref="B34:F34"/>
    <x:mergeCell ref="B37:F37"/>
    <x:mergeCell ref="B43:F43"/>
    <x:mergeCell ref="B44:F44"/>
    <x:mergeCell ref="B45:F45"/>
    <x:mergeCell ref="B48:F48"/>
    <x:mergeCell ref="B54:F54"/>
    <x:mergeCell ref="B55:F55"/>
    <x:mergeCell ref="B56:F56"/>
    <x:mergeCell ref="B59:F59"/>
    <x:mergeCell ref="A61:H61"/>
    <x:mergeCell ref="A62:H62"/>
    <x:mergeCell ref="A85:H85"/>
    <x:mergeCell ref="A86:H86"/>
    <x:mergeCell ref="A63:H63"/>
    <x:mergeCell ref="A67:A69"/>
    <x:mergeCell ref="B70:F70"/>
    <x:mergeCell ref="A75:A77"/>
    <x:mergeCell ref="B78:F78"/>
    <x:mergeCell ref="A80:F80"/>
    <x:mergeCell ref="A84:F84"/>
  </x:mergeCells>
  <x:conditionalFormatting sqref="G25:G25 G37:G37 G48:G48 G59:G59">
    <x:cfRule type="cellIs" dxfId="0" priority="1" operator="lessThan">
      <x:formula>0</x:formula>
    </x:cfRule>
  </x:conditionalFormatting>
  <x:pageMargins left="0.7" right="0.7" top="0.75" bottom="0.75" header="0.3" footer="0.3"/>
  <x:legacyDrawing xmlns:r="http://schemas.openxmlformats.org/officeDocument/2006/relationships" r:id="R2d97db9539794714"/>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7" hidden="0" customWidth="1"/>
    <x:col min="2" max="2" width="22" hidden="0" customWidth="1"/>
    <x:col min="3" max="3" width="62" hidden="0" customWidth="1"/>
    <x:col min="4" max="4" width="62" hidden="0" customWidth="1"/>
  </x:cols>
  <x:sheetData>
    <x:row r="1" ht="28" customHeight="1">
      <x:c r="A1" s="153" t="str">
        <x:v>POWER BUDGET — PRESSURE SENSOR / OUTSTANDING VERIFICATION</x:v>
      </x:c>
      <x:c r="B1" s="153"/>
      <x:c r="C1" s="153"/>
      <x:c r="D1" s="153"/>
    </x:row>
    <x:row r="3" ht="25" customHeight="1">
      <x:c r="A3" s="160" t="str">
        <x:v>Where</x:v>
      </x:c>
      <x:c r="B3" s="160" t="str">
        <x:v>What to enter</x:v>
      </x:c>
      <x:c r="C3" s="160" t="str">
        <x:v>Current status</x:v>
      </x:c>
      <x:c r="D3" s="160" t="str">
        <x:v>Notes / calculation</x:v>
      </x:c>
    </x:row>
    <x:row r="4" ht="52" customHeight="1">
      <x:c r="A4" s="161" t="str">
        <x:v>Power Budget!F9 / F27</x:v>
      </x:c>
      <x:c r="B4" s="161" t="str">
        <x:v>PIC18F57Q43 Curiosity Nano max current (mA)</x:v>
      </x:c>
      <x:c r="C4" s="161" t="str">
        <x:v>PROVISIONAL: 20.0 mA PIC allowance, excluding separately budgeted board overhead</x:v>
      </x:c>
      <x:c r="D4" s="161" t="str">
        <x:v>48 MHz intended. 20 mA is a planning allowance, NOT a datasheet-certified maximum at 5 V. Board-support current is listed separately (0.005 mA without USB). Validate the PIC load and connected outputs before final review.</x:v>
      </x:c>
    </x:row>
    <x:row r="5" ht="82" customHeight="1">
      <x:c r="A5" s="161" t="str">
        <x:v>Power Budget!F10 / F28</x:v>
      </x:c>
      <x:c r="B5" s="161" t="str">
        <x:v>CFSensor XGZP6878A15115KPA current (mA)</x:v>
      </x:c>
      <x:c r="C5" s="161" t="str">
        <x:v>PROVISIONAL: 5.00 mA planning allowance</x:v>
      </x:c>
      <x:c r="D5" s="161" t="str">
        <x:v>CFSensor v2.6 datasheet gives 2 mA TYPICAL; guaranteed operating maximum is not specified. 5 mA is a conservative planning allowance, not a datasheet maximum. Datasheet warns that currents above 5 mA may damage the sensor. Confirm a maximum for final review.</x:v>
      </x:c>
    </x:row>
    <x:row r="6" ht="52" customHeight="1">
      <x:c r="A6" s="161" t="str">
        <x:v>Power Budget!F11 / F29</x:v>
      </x:c>
      <x:c r="B6" s="161" t="str">
        <x:v>Curiosity Nano support current with no USB cable</x:v>
      </x:c>
      <x:c r="C6" s="161" t="str">
        <x:v>GUIDE: approx. 0.005 mA worst case</x:v>
      </x:c>
      <x:c r="D6" s="161" t="str">
        <x:v>Microchip Curiosity Nano Hardware User Guide DS40002186B, §3.3.2 p.15. Counted once in Section A/B.</x:v>
      </x:c>
    </x:row>
    <x:row r="7" ht="52" customHeight="1">
      <x:c r="A7" s="161" t="str">
        <x:v>Power Budget!G33</x:v>
      </x:c>
      <x:c r="B7" s="161" t="str">
        <x:v>+5V power rail safety margin</x:v>
      </x:c>
      <x:c r="C7" s="161" t="str">
        <x:v>ENTERED: 25%</x:v>
      </x:c>
      <x:c r="D7" s="161" t="str">
        <x:v>The template applies this automatically once all three loads have currents.</x:v>
      </x:c>
    </x:row>
    <x:row r="8" ht="52" customHeight="1">
      <x:c r="A8" s="161" t="str">
        <x:v>Power Budget!F36</x:v>
      </x:c>
      <x:c r="B8" s="161" t="str">
        <x:v>L7805 rated output current (mA)</x:v>
      </x:c>
      <x:c r="C8" s="161" t="str">
        <x:v>ENTERED: 1500 mA</x:v>
      </x:c>
      <x:c r="D8" s="161" t="str">
        <x:v>This is output CAPACITY, not current the regulator consumes.</x:v>
      </x:c>
    </x:row>
    <x:row r="9" ht="52" customHeight="1">
      <x:c r="A9" s="161" t="str">
        <x:v>Power Budget!C65 / F65</x:v>
      </x:c>
      <x:c r="B9" s="161" t="str">
        <x:v>Exact 9V wall adapter part number and rated output current</x:v>
      </x:c>
      <x:c r="C9" s="161" t="str">
        <x:v>SELECTED: Pololu 1470 — regulated 9 V DC, 1,000 mA</x:v>
      </x:c>
      <x:c r="D9" s="161" t="str">
        <x:v>100–240 V AC input; 5.5 × 2.1 mm center-positive barrel plug. Confirm board barrel jack and polarity.</x:v>
      </x:c>
    </x:row>
    <x:row r="10" ht="70" customHeight="1">
      <x:c r="A10" s="161" t="str">
        <x:v>Power Budget!F67</x:v>
      </x:c>
      <x:c r="B10" s="161" t="str">
        <x:v>Estimated 9V input current of regulator (mA)</x:v>
      </x:c>
      <x:c r="C10" s="161" t="str">
        <x:v>ESTIMATED: 5 V rail demand incl. margin + 8 mA allowance</x:v>
      </x:c>
      <x:c r="D10" s="161" t="str">
        <x:v>Linked formula: Power Budget!F67 = Power Budget!G34 + 'Instructions &amp; Sources'!B38. This uses max planned +5 V current WITH 25% margin, plus regulator current.</x:v>
      </x:c>
    </x:row>
    <x:row r="11" ht="75" customHeight="1">
      <x:c r="A11" s="161" t="str">
        <x:v>Pressure measurement limitation</x:v>
      </x:c>
      <x:c r="B11" s="161" t="str">
        <x:v>CFSensor XGZP6878A15115KPA (15–115 kPa, absolute)</x:v>
      </x:c>
      <x:c r="C11" s="161" t="str">
        <x:v>ACCURACY TARGET NOT MET: ±2.5% FSS ≈ ±25 hPa</x:v>
      </x:c>
      <x:c r="D11" s="161" t="str">
        <x:v>The manufacturer lists ±2.5% full-scale span. A 100 kPa span = 1,000 hPa; nominal bound ≈ ±25 hPa, worse than the project's ±1 hPa accuracy requirement. Amplification cannot correct sensor accuracy.</x:v>
      </x:c>
    </x:row>
    <x:row r="12">
      <x:c r="A12" s="160" t="str">
        <x:v>Key design notes</x:v>
      </x:c>
      <x:c r="B12" s="160"/>
      <x:c r="C12" s="160"/>
      <x:c r="D12" s="160"/>
    </x:row>
    <x:row r="13" ht="40" customHeight="1">
      <x:c r="A13" s="161" t="str">
        <x:v>1</x:v>
      </x:c>
      <x:c r="B13" s="161" t="str">
        <x:v>The sample 12V, −5V and 3.3V rails were cleared because this subsystem currently uses one regulated 5V rail.</x:v>
      </x:c>
      <x:c r="C13" s="161"/>
      <x:c r="D13" s="161"/>
    </x:row>
    <x:row r="14" ht="40" customHeight="1">
      <x:c r="A14" s="161" t="str">
        <x:v>2</x:v>
      </x:c>
      <x:c r="B14" s="161" t="str">
        <x:v>No L7805 regulator or wall adapter in Section A. The regulator's rated 1,500 mA is output CAPACITY, not a consumed 1,500 mA load.</x:v>
      </x:c>
      <x:c r="C14" s="161"/>
      <x:c r="D14" s="161"/>
    </x:row>
    <x:row r="15" ht="40" customHeight="1">
      <x:c r="A15" s="161" t="str">
        <x:v>3</x:v>
      </x:c>
      <x:c r="B15" s="161" t="str">
        <x:v>Standalone operation: 9 V Pololu 1470 → 5 V L7805 → VTG + GND. USB cable disconnected; do not apply 9 V to VTG. If connecting USB while externally powering VTG, first tie VOFF to GND per Microchip guide.</x:v>
      </x:c>
      <x:c r="C15" s="161"/>
      <x:c r="D15" s="161"/>
    </x:row>
    <x:row r="16" ht="40" customHeight="1">
      <x:c r="A16" s="161" t="str">
        <x:v>4</x:v>
      </x:c>
      <x:c r="B16" s="161" t="str">
        <x:v>The pressure sensor uses the existing regulated +5 V rail and feeds the PIC ADC directly; the MCP6004 is no longer in this design.</x:v>
      </x:c>
      <x:c r="C16" s="161" t="str">
        <x:v>Pressure sensor selected; sensor datasheet max draw and measurement accuracy still need attention.</x:v>
      </x:c>
      <x:c r="D16" s="161" t="str">
        <x:v>Pololu 1470 → L7805 → Curiosity Nano and CFSensor. Verify barrel polarity and sensor package/footprint.</x:v>
      </x:c>
    </x:row>
    <x:row r="17">
      <x:c r="A17" s="161"/>
      <x:c r="B17" s="161"/>
      <x:c r="C17" s="161"/>
      <x:c r="D17" s="161"/>
    </x:row>
    <x:row r="18">
      <x:c r="A18" s="160" t="str">
        <x:v>Component/source</x:v>
      </x:c>
      <x:c r="B18" s="160" t="str">
        <x:v>Documentation URL</x:v>
      </x:c>
      <x:c r="C18" s="160"/>
      <x:c r="D18" s="160"/>
    </x:row>
    <x:row r="19" ht="34" customHeight="1">
      <x:c r="A19" s="161" t="str">
        <x:v>CFSensor XGZP6878A datasheet (v2.6)</x:v>
      </x:c>
      <x:c r="B19" s="161" t="str">
        <x:v>https://cfsensor.com/wp-content/uploads/2022/11/XGZP6878A-Pressure-Sensor-V2.6.pdf</x:v>
      </x:c>
      <x:c r="C19" s="161"/>
      <x:c r="D19" s="161"/>
    </x:row>
    <x:row r="20" ht="34" customHeight="1">
      <x:c r="A20" s="161" t="str">
        <x:v>PIC18F57Q43 datasheet</x:v>
      </x:c>
      <x:c r="B20" s="161" t="str">
        <x:v>https://ww1.microchip.com/downloads/en/DeviceDoc/PIC18F27-47-57Q43-Data-Sheet-DS40002147E.pdf</x:v>
      </x:c>
      <x:c r="C20" s="161"/>
      <x:c r="D20" s="161"/>
    </x:row>
    <x:row r="21" ht="34" customHeight="1">
      <x:c r="A21" s="161" t="str">
        <x:v>Curiosity Nano guide</x:v>
      </x:c>
      <x:c r="B21" s="161" t="str">
        <x:v>https://ww1.microchip.com/downloads/en/DeviceDoc/PIC18F57Q43-Curiosity-Nano-HW-UserGuide-DS40002186B.pdf</x:v>
      </x:c>
      <x:c r="C21" s="161"/>
      <x:c r="D21" s="161"/>
    </x:row>
    <x:row r="22" ht="34" customHeight="1">
      <x:c r="A22" s="161" t="str">
        <x:v>PIC Curiosity Nano product</x:v>
      </x:c>
      <x:c r="B22" s="161" t="str">
        <x:v>https://www.microchip.com/en-us/development-tool/DM164150</x:v>
      </x:c>
      <x:c r="C22" s="161"/>
      <x:c r="D22" s="161"/>
    </x:row>
    <x:row r="24" ht="26" customHeight="1">
      <x:c r="A24" s="233" t="str">
        <x:v>CFSENSOR PRESSURE SENSOR — POWER ASSUMPTIONS</x:v>
      </x:c>
      <x:c r="B24" s="233"/>
      <x:c r="C24" s="233"/>
      <x:c r="D24" s="233"/>
    </x:row>
    <x:row r="25">
      <x:c r="A25" t="str">
        <x:v>Sensor supply voltage (V)</x:v>
      </x:c>
      <x:c r="B25" s="235" t="n">
        <x:v>5</x:v>
      </x:c>
      <x:c r="C25" t="str">
        <x:v>5 V nominal; 4.75–5.25 V per datasheet</x:v>
      </x:c>
      <x:c r="D25" t="str">
        <x:v>Powered directly by existing L7805 rail.</x:v>
      </x:c>
    </x:row>
    <x:row r="26">
      <x:c r="A26" t="str">
        <x:v>Datasheet TYPICAL current (mA)</x:v>
      </x:c>
      <x:c r="B26" s="235" t="n">
        <x:v>2</x:v>
      </x:c>
      <x:c r="C26" t="str">
        <x:v>Typical only; NO published maximum</x:v>
      </x:c>
      <x:c r="D26" t="str">
        <x:v>Do not substitute typical 2 mA for required maximum.</x:v>
      </x:c>
    </x:row>
    <x:row r="27">
      <x:c r="A27" t="str">
        <x:v>Budget allowance (mA)</x:v>
      </x:c>
      <x:c r="B27" s="236" t="n">
        <x:v>5</x:v>
      </x:c>
      <x:c r="C27" t="str">
        <x:v>PROVISIONAL; used in Section A and +5 V rail</x:v>
      </x:c>
      <x:c r="D27" t="str">
        <x:v>5 mA is an estimated conservative allowance, NOT a published absolute maximum current. Datasheet warns currents above 5 mA may damage the part.</x:v>
      </x:c>
    </x:row>
    <x:row r="28" ht="36" customHeight="1">
      <x:c r="A28" s="161" t="str">
        <x:v>Selected part: 15–115 kPa = 150–1150 hPa; analog output 0.2–4.7 V at 5 V. Connect directly to high-impedance PIC ADC. Accuracy is ±2.5% FSS (about ±25 hPa for this 100 kPa span).</x:v>
      </x:c>
      <x:c r="B28" s="161"/>
      <x:c r="C28" s="161"/>
      <x:c r="D28" s="161"/>
    </x:row>
    <x:row r="30">
      <x:c r="A30" s="241" t="str">
        <x:v>MCU CLOCK / POWER-BUDGET ASSUMPTIONS</x:v>
      </x:c>
      <x:c r="B30" s="241"/>
      <x:c r="C30" s="241"/>
      <x:c r="D30" s="242"/>
    </x:row>
    <x:row r="31">
      <x:c r="A31" t="str">
        <x:v>Requested approximate clock</x:v>
      </x:c>
      <x:c r="B31" t="str">
        <x:v>70% of 64 MHz</x:v>
      </x:c>
      <x:c r="C31" s="161" t="str">
        <x:v>44.8 MHz nominal</x:v>
      </x:c>
      <x:c r="D31" s="161" t="str">
        <x:v>Nearest direct HFINTOSC choice is 48 MHz (75% of maximum).</x:v>
      </x:c>
    </x:row>
    <x:row r="32">
      <x:c r="A32" t="str">
        <x:v>Selected planning clock</x:v>
      </x:c>
      <x:c r="B32" t="str">
        <x:v>48 MHz</x:v>
      </x:c>
      <x:c r="C32" s="161" t="str">
        <x:v>HFINTOSC</x:v>
      </x:c>
      <x:c r="D32" s="161" t="str">
        <x:v>May be lowered to 16 or 32 MHz if testing indicates no need for 48 MHz.</x:v>
      </x:c>
    </x:row>
    <x:row r="33">
      <x:c r="A33" t="str">
        <x:v>PIC current in Section A/B</x:v>
      </x:c>
      <x:c r="B33" s="243" t="n">
        <x:v>20</x:v>
      </x:c>
      <x:c r="C33" s="161" t="str">
        <x:v>mA — engineering allowance</x:v>
      </x:c>
      <x:c r="D33" s="161" t="str">
        <x:v>20 mA is a provisional allowance for the PIC and potential output/peripheral activity; board level-shifter draw (~0.005 mA with USB unplugged) is listed separately. Verify max at 5 V before final sign-off.</x:v>
      </x:c>
    </x:row>
    <x:row r="34">
      <x:c r="A34" t="str">
        <x:v>Datasheet reference</x:v>
      </x:c>
      <x:c r="B34" t="str">
        <x:v>8.2 mA max</x:v>
      </x:c>
      <x:c r="C34" s="161" t="str">
        <x:v>64 MHz HFINTOSC, 3.0 V</x:v>
      </x:c>
      <x:c r="D34" s="161" t="str">
        <x:v>Not directly valid at 5 V; do not scale operating current linearly with clock rate.</x:v>
      </x:c>
    </x:row>
    <x:row r="35">
      <x:c r="A35" t="str">
        <x:v>Hardware considerations</x:v>
      </x:c>
      <x:c r="B35" t="str">
        <x:v>5 V external via VTG</x:v>
      </x:c>
      <x:c r="C35" s="161" t="str">
        <x:v>USB disconnected / standalone</x:v>
      </x:c>
      <x:c r="D35" s="161" t="str">
        <x:v>Supply VTG with regulated 5 V and connect common GND. Leave USB unplugged in normal use; if both powered, follow VOFF-to-GND instructions in section 3.3.2.</x:v>
      </x:c>
    </x:row>
    <x:row r="36">
      <x:c r="A36" t="str">
        <x:v>Source: PIC18F57Q43 MCU datasheet</x:v>
      </x:c>
      <x:c r="B36" t="str">
        <x:v>https://onlinedocs.microchip.com/oxy/GUID-120FC00A-E156-441E-9ACB-58D957CEBABE-en-US-20/GUID-C723E8E4-9404-4951-9923-DF89B50F365A.html</x:v>
      </x:c>
      <x:c r="C36" s="161"/>
      <x:c r="D36" s="161"/>
    </x:row>
    <x:row r="37" ht="25" customHeight="1">
      <x:c r="A37" s="249" t="str">
        <x:v>EXTERNAL 9 V SUPPLY — SELECTED</x:v>
      </x:c>
      <x:c r="B37" s="249"/>
      <x:c r="C37" s="249"/>
      <x:c r="D37" s="249"/>
    </x:row>
    <x:row r="38" ht="55" customHeight="1">
      <x:c r="A38" s="250" t="str">
        <x:v>Regulator ground-current planning allowance (mA)</x:v>
      </x:c>
      <x:c r="B38" s="251" t="n">
        <x:v>8</x:v>
      </x:c>
      <x:c r="C38" s="161" t="str">
        <x:v>PROVISIONAL, editable</x:v>
      </x:c>
      <x:c r="D38" s="161" t="str">
        <x:v>ST L7805A data: quiescent current up to 6 mA at 25°C. An 8 mA budget allowance includes margin, not a guaranteed absolute maximum.</x:v>
      </x:c>
    </x:row>
    <x:row r="39" ht="43" customHeight="1">
      <x:c r="A39" s="250" t="str">
        <x:v>Adapter manufacturer / part</x:v>
      </x:c>
      <x:c r="B39" s="161" t="str">
        <x:v>Pololu / 1470</x:v>
      </x:c>
      <x:c r="C39" s="161" t="str">
        <x:v>9 V DC × 1 A (9 W)</x:v>
      </x:c>
      <x:c r="D39" s="161" t="str">
        <x:v>Switching, regulated 9 V, center-positive barrel plug.</x:v>
      </x:c>
    </x:row>
    <x:row r="40" ht="43" customHeight="1">
      <x:c r="A40" s="250" t="str">
        <x:v>Adapter AC input / DC plug</x:v>
      </x:c>
      <x:c r="B40" s="161" t="str">
        <x:v>100–240 V AC</x:v>
      </x:c>
      <x:c r="C40" s="161" t="str">
        <x:v>5.5 × 2.1 mm barrel</x:v>
      </x:c>
      <x:c r="D40" s="161" t="str">
        <x:v>Check the PCB jack matches this plug and its center-positive polarity.</x:v>
      </x:c>
    </x:row>
    <x:row r="41" ht="62" customHeight="1">
      <x:c r="A41" s="250" t="str">
        <x:v>Adapter product source</x:v>
      </x:c>
      <x:c r="B41" s="161" t="str">
        <x:v>https://www.pololu.com/product/1470</x:v>
      </x:c>
      <x:c r="C41" s="161" t="str">
        <x:v>Manufacturer specifications</x:v>
      </x:c>
      <x:c r="D41" s="161" t="str">
        <x:v>DigiKey: https://www.digikey.com/en/products/detail/pololu-corporation/1470/19200211</x:v>
      </x:c>
    </x:row>
    <x:row r="42" ht="55" customHeight="1">
      <x:c r="A42" s="250" t="str">
        <x:v>L7805 regulator source</x:v>
      </x:c>
      <x:c r="B42" s="161" t="str">
        <x:v>https://www.st.com/en/power-management/l78.html</x:v>
      </x:c>
      <x:c r="C42" s="161" t="str">
        <x:v>Quiescent current approx. 4.3 mA typ; 6 mA max at 25°C</x:v>
      </x:c>
      <x:c r="D42" s="161" t="str">
        <x:v>Do not equate regulator output capacity with its input load.</x:v>
      </x:c>
    </x:row>
    <x:row r="43">
      <x:c r="A43" t="str">
        <x:v>Hardware guide: board-support draw (no USB)</x:v>
      </x:c>
      <x:c r="B43" t="str">
        <x:v>https://ww1.microchip.com/downloads/en/DeviceDoc/PIC18F57Q43-Curiosity-Nano-HW-UserGuide-DS40002186B.pdf</x:v>
      </x:c>
      <x:c r="C43" t="str">
        <x:v>~0.005 mA max</x:v>
      </x:c>
      <x:c r="D43" t="str">
        <x:v>Section 3.3.2 (p.15), USB disconnected.</x:v>
      </x:c>
    </x:row>
  </x:sheetData>
  <x:mergeCells>
    <x:mergeCell ref="A1:D1"/>
    <x:mergeCell ref="A12:D12"/>
    <x:mergeCell ref="A24:D24"/>
    <x:mergeCell ref="A28:D28"/>
  </x:mergeCells>
  <x:pageMargins left="0.7" right="0.7" top="0.75" bottom="0.75" header="0.3" footer="0.3"/>
</x:worksheet>
</file>