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showInkAnnotation="0" autoCompressPictures="0"/>
  <xr:revisionPtr revIDLastSave="0" documentId="8_{F6832CEA-3E19-4E6F-ABA3-F4B26B148CFA}" xr6:coauthVersionLast="47" xr6:coauthVersionMax="47" xr10:uidLastSave="{00000000-0000-0000-0000-000000000000}"/>
  <bookViews>
    <workbookView xWindow="0" yWindow="0" windowWidth="0" windowHeight="0" xr2:uid="{00000000-000D-0000-FFFF-FFFF00000000}"/>
  </bookViews>
  <sheets>
    <sheet name="Power Budget" sheetId="1" r:id="rId1"/>
    <sheet name="Instructions &amp; Sources"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 r="G65" i="1"/>
  <c r="G36" i="1"/>
  <c r="G31" i="1"/>
  <c r="G29" i="1"/>
  <c r="F28" i="1"/>
  <c r="G27" i="1"/>
  <c r="G12" i="1"/>
  <c r="G11" i="1"/>
  <c r="F10" i="1"/>
  <c r="G10" i="1" s="1"/>
  <c r="G9" i="1"/>
  <c r="G28" i="1" l="1"/>
  <c r="G32" i="1" s="1"/>
  <c r="G34" i="1" s="1"/>
  <c r="F67" i="1" l="1"/>
  <c r="G67" i="1" s="1"/>
  <c r="G70" i="1" s="1"/>
  <c r="G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<sst xmlns="http://schemas.openxmlformats.org/spreadsheetml/2006/main" count="289" uniqueCount="188">
  <si>
    <t>Power Budget – Pressure Sensor PCB (Provisional)</t>
  </si>
  <si>
    <t>Team Number:</t>
  </si>
  <si>
    <t>Project Name:</t>
  </si>
  <si>
    <t>Environmental Monitor — Pressure</t>
  </si>
  <si>
    <t>Team Member Names:</t>
  </si>
  <si>
    <t>Brendan Laskowski</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</si>
  <si>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</si>
  <si>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</si>
  <si>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</si>
  <si>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</si>
  <si>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</si>
  <si>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</si>
  <si>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</si>
  <si>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</si>
  <si>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</si>
  <si>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</si>
  <si>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PIC18F57Q43 Curiosity Nano</t>
  </si>
  <si>
    <t>DM164150</t>
  </si>
  <si>
    <t>1.8–5.5 V</t>
  </si>
  <si>
    <t>mA</t>
  </si>
  <si>
    <t>Absolute analog pressure sensor</t>
  </si>
  <si>
    <t>XGZP6878A15115KPA</t>
  </si>
  <si>
    <t>4.75–5.25 V</t>
  </si>
  <si>
    <t>Curiosity Nano support circuitry (USB off)</t>
  </si>
  <si>
    <t>Onboard level shifters</t>
  </si>
  <si>
    <t>External 5 V on VTG</t>
  </si>
  <si>
    <t>MCP6004 Op-Amp</t>
  </si>
  <si>
    <t>MCP6004-I/P</t>
  </si>
  <si>
    <t>1.8-6.0 V</t>
  </si>
  <si>
    <t>B. Assign each major component above to ONE power rail below. Try to minimize the number of different power rails in the design. 
Add additional power rails or change the power rail voltages if needed.</t>
  </si>
  <si>
    <t>12 V rail (not used)</t>
  </si>
  <si>
    <t xml:space="preserve">Subtotal </t>
  </si>
  <si>
    <t>Safety Margin</t>
  </si>
  <si>
    <t>Total Current Required on +12V Rail</t>
  </si>
  <si>
    <t>c1. Regulator or Source Choice</t>
  </si>
  <si>
    <t>Total Remaining Current Available on +12V Rail</t>
  </si>
  <si>
    <t xml:space="preserve"> +5V Power Rail</t>
  </si>
  <si>
    <t>Total Current Required on +5V Rail</t>
  </si>
  <si>
    <t>c2. Regulator or Source Choice</t>
  </si>
  <si>
    <t>+5 V linear regulator</t>
  </si>
  <si>
    <t>L7805ABV-DG</t>
  </si>
  <si>
    <t>Input approx. 7–35 V</t>
  </si>
  <si>
    <t>Total Remaining Current Available on +5V Rail</t>
  </si>
  <si>
    <t>−5 V rail (not used)</t>
  </si>
  <si>
    <t>Total Current Required on -5V Rail</t>
  </si>
  <si>
    <t>c3. Regulator or Source Choice</t>
  </si>
  <si>
    <t>Total Remaining Current Available on -5V Rail</t>
  </si>
  <si>
    <t>3.3 V rail (not used)</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</si>
  <si>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</si>
  <si>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</si>
  <si>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</si>
  <si>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</si>
  <si>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</si>
  <si>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</si>
  <si>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</si>
  <si>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</si>
  <si>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9 V regulated wall adapter – Pololu</t>
  </si>
  <si>
    <t>1470</t>
  </si>
  <si>
    <t>100–240 V AC</t>
  </si>
  <si>
    <t>+9 V DC</t>
  </si>
  <si>
    <t>Power Rails Connected to External Power Source 1</t>
  </si>
  <si>
    <t>+5 V L7805 regulator</t>
  </si>
  <si>
    <t>9 V input</t>
  </si>
  <si>
    <t>Total Remaining Current Available on External Power Source 1</t>
  </si>
  <si>
    <t>External Power Source 2 — not used</t>
  </si>
  <si>
    <t>Power Source 2 Selection</t>
  </si>
  <si>
    <t>Power Rails Connected to External Power Source 2</t>
  </si>
  <si>
    <t>Total Remaining Current Available on External Power Source 2</t>
  </si>
  <si>
    <t>E. Battery Life — not applicable for wall adapter</t>
  </si>
  <si>
    <t>No battery in current design</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</si>
  <si>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</si>
  <si>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</si>
  <si>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</si>
  <si>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</si>
  <si>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</si>
  <si>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POWER BUDGET — PRESSURE SENSOR / OUTSTANDING VERIFICATION</t>
  </si>
  <si>
    <t>Where</t>
  </si>
  <si>
    <t>What to enter</t>
  </si>
  <si>
    <t>Current status</t>
  </si>
  <si>
    <t>Notes / calculation</t>
  </si>
  <si>
    <t>Power Budget!F9 / F27</t>
  </si>
  <si>
    <t>PIC18F57Q43 Curiosity Nano max current (mA)</t>
  </si>
  <si>
    <t>PROVISIONAL: 20.0 mA PIC allowance, excluding separately budgeted board overhead</t>
  </si>
  <si>
    <t>48 MHz intended. 20 mA is a planning allowance, NOT a datasheet-certified maximum at 5 V. Board-support current is listed separately (0.005 mA without USB). Validate the PIC load and connected outputs before final review.</t>
  </si>
  <si>
    <t>Power Budget!F10 / F28</t>
  </si>
  <si>
    <t>CFSensor XGZP6878A15115KPA current (mA)</t>
  </si>
  <si>
    <t>PROVISIONAL: 5.00 mA planning allowance</t>
  </si>
  <si>
    <t>CFSensor v2.6 datasheet gives 2 mA TYPICAL; guaranteed operating maximum is not specified. 5 mA is a conservative planning allowance, not a datasheet maximum. Datasheet warns that currents above 5 mA may damage the sensor. Confirm a maximum for final review.</t>
  </si>
  <si>
    <t>Power Budget!F11 / F29</t>
  </si>
  <si>
    <t>Curiosity Nano support current with no USB cable</t>
  </si>
  <si>
    <t>GUIDE: approx. 0.005 mA worst case</t>
  </si>
  <si>
    <t>Microchip Curiosity Nano Hardware User Guide DS40002186B, §3.3.2 p.15. Counted once in Section A/B.</t>
  </si>
  <si>
    <t>Power Budget!G33</t>
  </si>
  <si>
    <t>+5V power rail safety margin</t>
  </si>
  <si>
    <t>ENTERED: 25%</t>
  </si>
  <si>
    <t>The template applies this automatically once all three loads have currents.</t>
  </si>
  <si>
    <t>Power Budget!F36</t>
  </si>
  <si>
    <t>L7805 rated output current (mA)</t>
  </si>
  <si>
    <t>ENTERED: 1500 mA</t>
  </si>
  <si>
    <t>This is output CAPACITY, not current the regulator consumes.</t>
  </si>
  <si>
    <t>Power Budget!C65 / F65</t>
  </si>
  <si>
    <t>Exact 9V wall adapter part number and rated output current</t>
  </si>
  <si>
    <t>SELECTED: Pololu 1470 — regulated 9 V DC, 1,000 mA</t>
  </si>
  <si>
    <t>100–240 V AC input; 5.5 × 2.1 mm center-positive barrel plug. Confirm board barrel jack and polarity.</t>
  </si>
  <si>
    <t>Power Budget!F67</t>
  </si>
  <si>
    <t>Estimated 9V input current of regulator (mA)</t>
  </si>
  <si>
    <t>ESTIMATED: 5 V rail demand incl. margin + 8 mA allowance</t>
  </si>
  <si>
    <t>Linked formula: Power Budget!F67 = Power Budget!G34 + 'Instructions &amp; Sources'!B38. This uses max planned +5 V current WITH 25% margin, plus regulator current.</t>
  </si>
  <si>
    <t>Pressure measurement limitation</t>
  </si>
  <si>
    <t>CFSensor XGZP6878A15115KPA (15–115 kPa, absolute)</t>
  </si>
  <si>
    <t>ACCURACY TARGET NOT MET: ±2.5% FSS ≈ ±25 hPa</t>
  </si>
  <si>
    <t>The manufacturer lists ±2.5% full-scale span. A 100 kPa span = 1,000 hPa; nominal bound ≈ ±25 hPa, worse than the project's ±1 hPa accuracy requirement. Amplification cannot correct sensor accuracy.</t>
  </si>
  <si>
    <t>Key design notes</t>
  </si>
  <si>
    <t>1</t>
  </si>
  <si>
    <t>The sample 12V, −5V and 3.3V rails were cleared because this subsystem currently uses one regulated 5V rail.</t>
  </si>
  <si>
    <t>2</t>
  </si>
  <si>
    <t>No L7805 regulator or wall adapter in Section A. The regulator's rated 1,500 mA is output CAPACITY, not a consumed 1,500 mA load.</t>
  </si>
  <si>
    <t>3</t>
  </si>
  <si>
    <t>Standalone operation: 9 V Pololu 1470 → 5 V L7805 → VTG + GND. USB cable disconnected; do not apply 9 V to VTG. If connecting USB while externally powering VTG, first tie VOFF to GND per Microchip guide.</t>
  </si>
  <si>
    <t>4</t>
  </si>
  <si>
    <t>The pressure sensor uses the existing regulated +5 V rail and feeds the PIC ADC directly; the MCP6004 is no longer in this design.</t>
  </si>
  <si>
    <t>Pressure sensor selected; sensor datasheet max draw and measurement accuracy still need attention.</t>
  </si>
  <si>
    <t>Pololu 1470 → L7805 → Curiosity Nano and CFSensor. Verify barrel polarity and sensor package/footprint.</t>
  </si>
  <si>
    <t>Component/source</t>
  </si>
  <si>
    <t>Documentation URL</t>
  </si>
  <si>
    <t>CFSensor XGZP6878A datasheet (v2.6)</t>
  </si>
  <si>
    <t>https://cfsensor.com/wp-content/uploads/2022/11/XGZP6878A-Pressure-Sensor-V2.6.pdf</t>
  </si>
  <si>
    <t>PIC18F57Q43 datasheet</t>
  </si>
  <si>
    <t>https://ww1.microchip.com/downloads/en/DeviceDoc/PIC18F27-47-57Q43-Data-Sheet-DS40002147E.pdf</t>
  </si>
  <si>
    <t>Curiosity Nano guide</t>
  </si>
  <si>
    <t>https://ww1.microchip.com/downloads/en/DeviceDoc/PIC18F57Q43-Curiosity-Nano-HW-UserGuide-DS40002186B.pdf</t>
  </si>
  <si>
    <t>PIC Curiosity Nano product</t>
  </si>
  <si>
    <t>https://www.microchip.com/en-us/development-tool/DM164150</t>
  </si>
  <si>
    <t>CFSENSOR PRESSURE SENSOR — POWER ASSUMPTIONS</t>
  </si>
  <si>
    <t>Sensor supply voltage (V)</t>
  </si>
  <si>
    <t>5 V nominal; 4.75–5.25 V per datasheet</t>
  </si>
  <si>
    <t>Powered directly by existing L7805 rail.</t>
  </si>
  <si>
    <t>Datasheet TYPICAL current (mA)</t>
  </si>
  <si>
    <t>Typical only; NO published maximum</t>
  </si>
  <si>
    <t>Do not substitute typical 2 mA for required maximum.</t>
  </si>
  <si>
    <t>Budget allowance (mA)</t>
  </si>
  <si>
    <t>PROVISIONAL; used in Section A and +5 V rail</t>
  </si>
  <si>
    <t>5 mA is an estimated conservative allowance, NOT a published absolute maximum current. Datasheet warns currents above 5 mA may damage the part.</t>
  </si>
  <si>
    <t>Selected part: 15–115 kPa = 150–1150 hPa; analog output 0.2–4.7 V at 5 V. Connect directly to high-impedance PIC ADC. Accuracy is ±2.5% FSS (about ±25 hPa for this 100 kPa span).</t>
  </si>
  <si>
    <t>MCU CLOCK / POWER-BUDGET ASSUMPTIONS</t>
  </si>
  <si>
    <t>Requested approximate clock</t>
  </si>
  <si>
    <t>70% of 64 MHz</t>
  </si>
  <si>
    <t>44.8 MHz nominal</t>
  </si>
  <si>
    <t>Nearest direct HFINTOSC choice is 48 MHz (75% of maximum).</t>
  </si>
  <si>
    <t>Selected planning clock</t>
  </si>
  <si>
    <t>48 MHz</t>
  </si>
  <si>
    <t>HFINTOSC</t>
  </si>
  <si>
    <t>May be lowered to 16 or 32 MHz if testing indicates no need for 48 MHz.</t>
  </si>
  <si>
    <t>PIC current in Section A/B</t>
  </si>
  <si>
    <t>mA — engineering allowance</t>
  </si>
  <si>
    <t>20 mA is a provisional allowance for the PIC and potential output/peripheral activity; board level-shifter draw (~0.005 mA with USB unplugged) is listed separately. Verify max at 5 V before final sign-off.</t>
  </si>
  <si>
    <t>Datasheet reference</t>
  </si>
  <si>
    <t>8.2 mA max</t>
  </si>
  <si>
    <t>64 MHz HFINTOSC, 3.0 V</t>
  </si>
  <si>
    <t>Not directly valid at 5 V; do not scale operating current linearly with clock rate.</t>
  </si>
  <si>
    <t>Hardware considerations</t>
  </si>
  <si>
    <t>5 V external via VTG</t>
  </si>
  <si>
    <t>USB disconnected / standalone</t>
  </si>
  <si>
    <t>Supply VTG with regulated 5 V and connect common GND. Leave USB unplugged in normal use; if both powered, follow VOFF-to-GND instructions in section 3.3.2.</t>
  </si>
  <si>
    <t>Source: PIC18F57Q43 MCU datasheet</t>
  </si>
  <si>
    <t>https://onlinedocs.microchip.com/oxy/GUID-120FC00A-E156-441E-9ACB-58D957CEBABE-en-US-20/GUID-C723E8E4-9404-4951-9923-DF89B50F365A.html</t>
  </si>
  <si>
    <t>EXTERNAL 9 V SUPPLY — SELECTED</t>
  </si>
  <si>
    <t>Regulator ground-current planning allowance (mA)</t>
  </si>
  <si>
    <t>PROVISIONAL, editable</t>
  </si>
  <si>
    <t>ST L7805A data: quiescent current up to 6 mA at 25°C. An 8 mA budget allowance includes margin, not a guaranteed absolute maximum.</t>
  </si>
  <si>
    <t>Adapter manufacturer / part</t>
  </si>
  <si>
    <t>Pololu / 1470</t>
  </si>
  <si>
    <t>9 V DC × 1 A (9 W)</t>
  </si>
  <si>
    <t>Switching, regulated 9 V, center-positive barrel plug.</t>
  </si>
  <si>
    <t>Adapter AC input / DC plug</t>
  </si>
  <si>
    <t>5.5 × 2.1 mm barrel</t>
  </si>
  <si>
    <t>Check the PCB jack matches this plug and its center-positive polarity.</t>
  </si>
  <si>
    <t>Adapter product source</t>
  </si>
  <si>
    <t>https://www.pololu.com/product/1470</t>
  </si>
  <si>
    <t>Manufacturer specifications</t>
  </si>
  <si>
    <t>DigiKey: https://www.digikey.com/en/products/detail/pololu-corporation/1470/19200211</t>
  </si>
  <si>
    <t>L7805 regulator source</t>
  </si>
  <si>
    <t>https://www.st.com/en/power-management/l78.html</t>
  </si>
  <si>
    <t>Quiescent current approx. 4.3 mA typ; 6 mA max at 25°C</t>
  </si>
  <si>
    <t>Do not equate regulator output capacity with its input load.</t>
  </si>
  <si>
    <t>Hardware guide: board-support draw (no USB)</t>
  </si>
  <si>
    <t>~0.005 mA max</t>
  </si>
  <si>
    <t>Section 3.3.2 (p.15), USB disconnected.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</si>
</sst>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2">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name val="Arial"/>
    </font>
    <font>
      <sz val="12"/>
      <color rgb="FF000000"/>
      <name val="Calibri"/>
    </font>
    <font>
      <b/>
      <sz val="12"/>
      <color rgb="FFFFFFFF"/>
      <name val="Calibri"/>
    </font>
    <font>
      <sz val="12"/>
      <color rgb="FF000000"/>
      <name val="Calibri"/>
      <scheme val="minor"/>
    </font>
  </fonts>
  <fills count="16">
    <fill>
      <patternFill patternType="none"/>
    </fill>
    <fill>
      <patternFill patternType="gray125"/>
    </fill>
    <fill>
      <patternFill patternType="solid">
        <fgColor rgb="FFFFFF00"/>
      </patternFill>
    </fill>
    <fill>
      <patternFill patternType="solid">
        <fgColor rgb="FFEEECE1"/>
      </patternFill>
    </fill>
    <fill>
      <patternFill patternType="solid">
        <fgColor rgb="FFFFFFFF"/>
      </patternFill>
    </fill>
    <fill>
      <patternFill patternType="solid">
        <fgColor rgb="FFFFF1CC"/>
      </patternFill>
    </fill>
    <fill>
      <patternFill patternType="solid">
        <fgColor rgb="FFD9F5E5"/>
      </patternFill>
    </fill>
    <fill>
      <patternFill patternType="solid">
        <fgColor rgb="FFDDEAF7"/>
      </patternFill>
    </fill>
    <fill>
      <patternFill patternType="solid">
        <fgColor rgb="FF176C77"/>
      </patternFill>
    </fill>
    <fill>
      <patternFill patternType="solid">
        <fgColor rgb="FFE2F0D9"/>
      </patternFill>
    </fill>
    <fill>
      <patternFill patternType="solid">
        <fgColor rgb="FF164E63"/>
      </patternFill>
    </fill>
    <fill>
      <patternFill patternType="solid">
        <fgColor rgb="FF17365D"/>
      </patternFill>
    </fill>
    <fill>
      <patternFill patternType="solid">
        <fgColor rgb="FFFFF2CC"/>
      </patternFill>
    </fill>
    <fill>
      <patternFill patternType="solid">
        <fgColor rgb="FFFFF0B3"/>
      </patternFill>
    </fill>
    <fill>
      <patternFill patternType="solid">
        <fgColor rgb="FFFFFFFF"/>
        <bgColor indexed="64"/>
      </patternFill>
    </fill>
    <fill>
      <patternFill patternType="solid">
        <fgColor rgb="FFFFF4D9"/>
        <bgColor indexed="64"/>
      </patternFill>
    </fill>
  </fills>
  <borders count="1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98">
    <xf numFmtId="0" fontId="0" fillId="0" borderId="0" xfId="0"/>
    <xf numFmtId="0" fontId="2" fillId="0" borderId="0" xfId="0" applyFont="1" applyAlignment="1">
      <alignment horizontal="center"/>
    </xf>
    <xf numFmtId="0" fontId="2" fillId="0" borderId="0" xfId="0" applyFont="1"/>
    <xf numFmtId="0" fontId="4" fillId="0" borderId="0" xfId="0" applyFont="1"/>
    <xf numFmtId="0" fontId="6" fillId="0" borderId="0" xfId="0" applyFont="1" applyAlignment="1">
      <alignment horizontal="center"/>
    </xf>
    <xf numFmtId="0" fontId="0" fillId="0" borderId="0" xfId="0" applyAlignment="1">
      <alignment horizontal="center"/>
    </xf>
    <xf numFmtId="0" fontId="6" fillId="0" borderId="0" xfId="0" applyFont="1"/>
    <xf numFmtId="49" fontId="6" fillId="0" borderId="0" xfId="0" applyNumberFormat="1" applyFont="1" applyAlignment="1">
      <alignment horizontal="center"/>
    </xf>
    <xf numFmtId="0" fontId="4" fillId="0" borderId="0" xfId="0" applyFont="1" applyAlignment="1">
      <alignment horizontal="center"/>
    </xf>
    <xf numFmtId="0" fontId="7" fillId="0" borderId="0" xfId="0" applyFont="1" applyAlignment="1">
      <alignment horizontal="right"/>
    </xf>
    <xf numFmtId="0" fontId="6" fillId="0" borderId="0" xfId="0" applyFont="1" applyAlignment="1">
      <alignment horizontal="left"/>
    </xf>
    <xf numFmtId="0" fontId="6" fillId="0" borderId="0" xfId="0" applyFont="1" applyAlignment="1">
      <alignment horizontal="right"/>
    </xf>
    <xf numFmtId="0" fontId="5" fillId="0" borderId="0" xfId="0" applyFont="1" applyAlignment="1">
      <alignment wrapText="1"/>
    </xf>
    <xf numFmtId="0" fontId="8" fillId="0" borderId="0" xfId="0" applyFont="1"/>
    <xf numFmtId="0" fontId="0" fillId="2" borderId="0" xfId="0" applyFill="1"/>
    <xf numFmtId="0" fontId="9" fillId="0" borderId="0" xfId="0" applyFont="1"/>
    <xf numFmtId="0" fontId="6" fillId="5" borderId="1" xfId="0" applyNumberFormat="1" applyFont="1" applyFill="1" applyBorder="1" applyAlignment="1">
      <alignment horizontal="right"/>
    </xf>
    <xf numFmtId="0" fontId="6" fillId="6" borderId="1" xfId="0" applyNumberFormat="1" applyFont="1" applyFill="1" applyBorder="1" applyAlignment="1">
      <alignment horizontal="right"/>
    </xf>
    <xf numFmtId="0" fontId="11" fillId="14" borderId="1" xfId="0" applyFont="1" applyFill="1" applyBorder="1" applyAlignment="1">
      <alignment wrapText="1"/>
    </xf>
    <xf numFmtId="0" fontId="11" fillId="0" borderId="0" xfId="0" applyFont="1" applyAlignment="1">
      <alignment horizontal="center"/>
    </xf>
    <xf numFmtId="0" fontId="11" fillId="0" borderId="0" xfId="0" applyFont="1"/>
    <xf numFmtId="0" fontId="0" fillId="0" borderId="0" xfId="0" applyFont="1" applyAlignment="1">
      <alignment horizontal="center"/>
    </xf>
    <xf numFmtId="0" fontId="11" fillId="15" borderId="0" xfId="0" applyFont="1" applyFill="1"/>
    <xf numFmtId="0" fontId="2" fillId="0" borderId="2" xfId="0" applyFont="1" applyBorder="1"/>
    <xf numFmtId="0" fontId="3" fillId="0" borderId="2" xfId="0" applyFont="1" applyBorder="1"/>
    <xf numFmtId="0" fontId="4" fillId="0" borderId="2" xfId="0" applyFont="1" applyBorder="1"/>
    <xf numFmtId="0" fontId="4" fillId="3" borderId="3" xfId="0" applyFont="1" applyFill="1" applyBorder="1" applyAlignment="1">
      <alignment horizontal="center"/>
    </xf>
    <xf numFmtId="0" fontId="2" fillId="3" borderId="4"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0" fillId="0" borderId="6" xfId="0" applyBorder="1"/>
    <xf numFmtId="0" fontId="0" fillId="13" borderId="1" xfId="0" applyNumberFormat="1" applyFont="1" applyFill="1" applyBorder="1"/>
    <xf numFmtId="0" fontId="0" fillId="0" borderId="7" xfId="0" applyBorder="1"/>
    <xf numFmtId="0" fontId="6" fillId="0" borderId="7" xfId="0" applyFont="1" applyBorder="1"/>
    <xf numFmtId="0" fontId="6" fillId="13" borderId="1" xfId="0" applyNumberFormat="1" applyFont="1" applyFill="1" applyBorder="1"/>
    <xf numFmtId="164" fontId="0" fillId="5" borderId="1" xfId="0" applyNumberFormat="1" applyFont="1" applyFill="1" applyBorder="1"/>
    <xf numFmtId="164" fontId="0" fillId="0" borderId="7" xfId="0" applyNumberFormat="1" applyFont="1" applyFill="1" applyBorder="1"/>
    <xf numFmtId="0" fontId="2" fillId="0" borderId="6" xfId="0" applyFont="1" applyBorder="1"/>
    <xf numFmtId="0" fontId="0" fillId="0" borderId="7" xfId="0" applyFont="1" applyBorder="1"/>
    <xf numFmtId="0" fontId="5" fillId="3" borderId="3" xfId="0" applyFont="1" applyFill="1" applyBorder="1"/>
    <xf numFmtId="9" fontId="0" fillId="0" borderId="7" xfId="0" applyNumberFormat="1" applyBorder="1"/>
    <xf numFmtId="0" fontId="7" fillId="0" borderId="6" xfId="0" applyFont="1" applyBorder="1"/>
    <xf numFmtId="0" fontId="5" fillId="0" borderId="6" xfId="0" applyFont="1" applyBorder="1" applyAlignment="1">
      <alignment horizontal="left"/>
    </xf>
    <xf numFmtId="0" fontId="0" fillId="0" borderId="7" xfId="0" applyBorder="1" applyAlignment="1">
      <alignment horizontal="right"/>
    </xf>
    <xf numFmtId="0" fontId="5" fillId="0" borderId="8" xfId="0" applyFont="1" applyBorder="1" applyAlignment="1">
      <alignment horizontal="left"/>
    </xf>
    <xf numFmtId="0" fontId="4" fillId="3" borderId="2" xfId="0" applyFont="1" applyFill="1" applyBorder="1" applyAlignment="1">
      <alignment horizontal="center"/>
    </xf>
    <xf numFmtId="0" fontId="2" fillId="0" borderId="7" xfId="0" applyFont="1" applyBorder="1"/>
    <xf numFmtId="0" fontId="5" fillId="0" borderId="6" xfId="0" applyFont="1" applyBorder="1" applyAlignment="1">
      <alignment wrapText="1"/>
    </xf>
    <xf numFmtId="0" fontId="5" fillId="0" borderId="6" xfId="0" applyFont="1" applyBorder="1"/>
    <xf numFmtId="0" fontId="5" fillId="0" borderId="7" xfId="0" applyFont="1" applyBorder="1"/>
    <xf numFmtId="0" fontId="4" fillId="3" borderId="4" xfId="0" applyFont="1" applyFill="1" applyBorder="1" applyAlignment="1">
      <alignment horizontal="center" wrapText="1"/>
    </xf>
    <xf numFmtId="0" fontId="4" fillId="0" borderId="6" xfId="0" applyFont="1" applyBorder="1" applyAlignment="1">
      <alignment horizontal="left"/>
    </xf>
    <xf numFmtId="0" fontId="6" fillId="0" borderId="7" xfId="0" applyFont="1" applyBorder="1" applyAlignment="1">
      <alignment horizontal="right"/>
    </xf>
    <xf numFmtId="0" fontId="6" fillId="0" borderId="9" xfId="0" applyFont="1" applyBorder="1" applyAlignment="1">
      <alignment horizontal="left"/>
    </xf>
    <xf numFmtId="0" fontId="4" fillId="0" borderId="6" xfId="0" applyFont="1" applyBorder="1" applyAlignment="1">
      <alignment horizontal="center"/>
    </xf>
    <xf numFmtId="0" fontId="6" fillId="0" borderId="9" xfId="0" applyFont="1" applyBorder="1"/>
    <xf numFmtId="0" fontId="4" fillId="0" borderId="7" xfId="0" applyFont="1" applyBorder="1" applyAlignment="1">
      <alignment horizontal="center"/>
    </xf>
    <xf numFmtId="0" fontId="4" fillId="0" borderId="9" xfId="0" applyFont="1" applyBorder="1" applyAlignment="1">
      <alignment horizontal="center"/>
    </xf>
    <xf numFmtId="0" fontId="0" fillId="0" borderId="7" xfId="0" applyBorder="1" applyAlignment="1">
      <alignment horizontal="center"/>
    </xf>
    <xf numFmtId="0" fontId="7" fillId="2" borderId="2" xfId="0" applyFont="1" applyFill="1" applyBorder="1"/>
    <xf numFmtId="0" fontId="2" fillId="3" borderId="6" xfId="0" applyFont="1" applyFill="1" applyBorder="1"/>
    <xf numFmtId="0" fontId="2" fillId="3" borderId="1" xfId="0" applyFont="1" applyFill="1" applyBorder="1"/>
    <xf numFmtId="0" fontId="4" fillId="3" borderId="10" xfId="0" applyFont="1" applyFill="1" applyBorder="1" applyAlignment="1">
      <alignment horizontal="center"/>
    </xf>
    <xf numFmtId="0" fontId="4" fillId="3" borderId="7" xfId="0" applyFont="1" applyFill="1" applyBorder="1" applyAlignment="1">
      <alignment horizontal="center"/>
    </xf>
    <xf numFmtId="0" fontId="2" fillId="3" borderId="7" xfId="0" applyFont="1" applyFill="1" applyBorder="1"/>
    <xf numFmtId="0" fontId="2" fillId="7" borderId="1" xfId="0" applyNumberFormat="1" applyFont="1" applyFill="1" applyBorder="1" applyAlignment="1">
      <alignment wrapText="1"/>
    </xf>
    <xf numFmtId="164" fontId="0" fillId="12" borderId="1" xfId="0" applyNumberFormat="1" applyFont="1" applyFill="1" applyBorder="1"/>
    <xf numFmtId="164" fontId="0" fillId="9" borderId="1" xfId="0" applyNumberFormat="1" applyFont="1" applyFill="1" applyBorder="1"/>
    <xf numFmtId="0" fontId="0" fillId="0" borderId="1" xfId="0" applyNumberFormat="1" applyFont="1" applyFill="1" applyBorder="1" applyAlignment="1">
      <alignment wrapText="1"/>
    </xf>
    <xf numFmtId="0" fontId="10" fillId="10" borderId="1" xfId="0" applyNumberFormat="1" applyFont="1" applyFill="1" applyBorder="1"/>
    <xf numFmtId="0" fontId="10" fillId="10" borderId="1" xfId="0" applyNumberFormat="1" applyFont="1" applyFill="1" applyBorder="1" applyAlignment="1">
      <alignment wrapText="1"/>
    </xf>
    <xf numFmtId="165" fontId="0" fillId="0" borderId="1" xfId="0" applyNumberFormat="1" applyFont="1" applyFill="1" applyBorder="1"/>
    <xf numFmtId="0" fontId="10" fillId="11" borderId="1" xfId="0" applyNumberFormat="1" applyFont="1" applyFill="1" applyBorder="1" applyAlignment="1">
      <alignment vertical="center" wrapText="1"/>
    </xf>
    <xf numFmtId="0" fontId="2" fillId="0" borderId="1" xfId="0" applyNumberFormat="1" applyFont="1" applyFill="1" applyBorder="1" applyAlignment="1">
      <alignment wrapText="1"/>
    </xf>
    <xf numFmtId="165" fontId="0" fillId="12" borderId="1" xfId="0" applyNumberFormat="1" applyFont="1" applyFill="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5" fillId="0" borderId="11" xfId="0" applyFont="1" applyBorder="1" applyAlignment="1">
      <alignment wrapText="1"/>
    </xf>
    <xf numFmtId="0" fontId="6" fillId="0" borderId="0" xfId="0" applyFont="1" applyAlignment="1">
      <alignment wrapText="1"/>
    </xf>
    <xf numFmtId="0" fontId="6" fillId="4" borderId="0" xfId="0" applyFont="1" applyFill="1" applyAlignment="1">
      <alignment horizontal="left" wrapText="1"/>
    </xf>
    <xf numFmtId="0" fontId="5" fillId="2" borderId="3" xfId="0" applyFont="1" applyFill="1" applyBorder="1" applyAlignment="1">
      <alignment wrapText="1"/>
    </xf>
    <xf numFmtId="0" fontId="5" fillId="2" borderId="4" xfId="0" applyFont="1" applyFill="1" applyBorder="1" applyAlignment="1">
      <alignment wrapText="1"/>
    </xf>
    <xf numFmtId="0" fontId="5" fillId="2" borderId="11" xfId="0" applyFont="1" applyFill="1" applyBorder="1" applyAlignment="1">
      <alignment wrapText="1"/>
    </xf>
    <xf numFmtId="0" fontId="4" fillId="0" borderId="6" xfId="0" applyFont="1" applyBorder="1" applyAlignment="1">
      <alignment horizontal="left" vertical="center" wrapText="1"/>
    </xf>
    <xf numFmtId="49" fontId="5" fillId="0" borderId="1" xfId="0" applyNumberFormat="1" applyFont="1" applyBorder="1" applyAlignment="1">
      <alignment horizontal="right"/>
    </xf>
    <xf numFmtId="49" fontId="5" fillId="0" borderId="9" xfId="0" applyNumberFormat="1" applyFont="1" applyBorder="1" applyAlignment="1">
      <alignment horizontal="right"/>
    </xf>
    <xf numFmtId="0" fontId="5" fillId="2" borderId="0" xfId="0" applyFont="1" applyFill="1" applyAlignment="1"/>
    <xf numFmtId="0" fontId="7" fillId="0" borderId="1" xfId="0" applyFont="1" applyBorder="1" applyAlignment="1">
      <alignment horizontal="right"/>
    </xf>
    <xf numFmtId="0" fontId="7" fillId="0" borderId="9" xfId="0" applyFont="1" applyBorder="1" applyAlignment="1">
      <alignment horizontal="right"/>
    </xf>
    <xf numFmtId="0" fontId="5" fillId="0" borderId="1" xfId="0" applyFont="1" applyBorder="1" applyAlignment="1">
      <alignment horizontal="right"/>
    </xf>
    <xf numFmtId="0" fontId="5" fillId="0" borderId="9" xfId="0" applyFont="1" applyBorder="1" applyAlignment="1">
      <alignment horizontal="right"/>
    </xf>
    <xf numFmtId="49" fontId="5" fillId="0" borderId="12" xfId="0" applyNumberFormat="1" applyFont="1" applyBorder="1" applyAlignment="1">
      <alignment horizontal="right"/>
    </xf>
    <xf numFmtId="49" fontId="5" fillId="0" borderId="13" xfId="0" applyNumberFormat="1" applyFont="1" applyBorder="1" applyAlignment="1">
      <alignment horizontal="right"/>
    </xf>
    <xf numFmtId="0" fontId="1" fillId="0" borderId="1" xfId="0" applyFont="1" applyBorder="1" applyAlignment="1">
      <alignment horizontal="center"/>
    </xf>
    <xf numFmtId="0" fontId="10" fillId="11" borderId="1" xfId="0" applyNumberFormat="1" applyFont="1" applyFill="1" applyBorder="1" applyAlignment="1"/>
    <xf numFmtId="0" fontId="2" fillId="7" borderId="1" xfId="0" applyNumberFormat="1" applyFont="1" applyFill="1" applyBorder="1" applyAlignment="1">
      <alignment wrapText="1"/>
    </xf>
    <xf numFmtId="0" fontId="10" fillId="8" borderId="1" xfId="0" applyNumberFormat="1" applyFont="1" applyFill="1" applyBorder="1" applyAlignment="1"/>
    <xf numFmtId="0" fontId="0" fillId="0" borderId="1" xfId="0" applyNumberFormat="1" applyFont="1" applyFill="1" applyBorder="1" applyAlignment="1">
      <alignment wrapText="1"/>
    </xf>
  </cellXfs>
  <cellStyles count="1">
    <cellStyle name="Normal" xfId="0" builtinId="0"/>
  </cellStyles>
  <dxfs count="1">
    <dxf>
      <font>
        <color rgb="FF000000"/>
      </font>
      <fill>
        <patternFill>
          <bgColor rgb="FFF4CCCC"/>
        </patternFill>
      </fill>
    </dxf>
  </dxfs>
  <tableStyles count="0" defaultTableStyle="TableStyleMedium2" defaultPivotStyle="PivotStyleLight16"/>
  <colors>
    <mruColors>
      <color rgb="FFFFF4D9"/>
      <color rgb="FFFFFFD6"/>
      <color rgb="FFF5F59F"/>
      <color rgb="FFF0F04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6"/>
  <sheetViews>
    <sheetView tabSelected="1" zoomScaleNormal="100" zoomScaleSheetLayoutView="100" workbookViewId="0">
      <selection activeCell="B43" sqref="B43:F43"/>
    </sheetView>
  </sheetViews>
  <sheetFormatPr defaultColWidth="13.5" defaultRowHeight="15.75"/>
  <cols>
    <col min="1" max="1" width="26.125" customWidth="1"/>
    <col min="2" max="2" width="34" customWidth="1"/>
    <col min="3" max="3" width="19.75" customWidth="1"/>
    <col min="4" max="4" width="23" customWidth="1"/>
    <col min="5" max="5" width="6.875" customWidth="1"/>
    <col min="6" max="6" width="34.75" customWidth="1"/>
    <col min="7" max="7" width="21.5" customWidth="1"/>
    <col min="8" max="8" width="9" customWidth="1"/>
  </cols>
  <sheetData>
    <row r="1" spans="1:8" ht="30" customHeight="1">
      <c r="A1" s="93" t="s">
        <v>0</v>
      </c>
      <c r="B1" s="93"/>
      <c r="C1" s="93"/>
      <c r="D1" s="93"/>
      <c r="E1" s="93"/>
      <c r="F1" s="93"/>
      <c r="G1" s="93"/>
      <c r="H1" s="93"/>
    </row>
    <row r="2" spans="1:8" ht="15" customHeight="1">
      <c r="A2" s="23" t="s">
        <v>1</v>
      </c>
      <c r="B2" s="24">
        <v>202</v>
      </c>
      <c r="D2" s="1"/>
      <c r="E2" s="1"/>
    </row>
    <row r="3" spans="1:8" ht="15" customHeight="1">
      <c r="A3" s="25" t="s">
        <v>2</v>
      </c>
      <c r="B3" s="23" t="s">
        <v>3</v>
      </c>
      <c r="C3" s="2"/>
      <c r="D3" s="1"/>
      <c r="E3" s="1"/>
      <c r="F3" s="2"/>
      <c r="G3" s="2"/>
      <c r="H3" s="2"/>
    </row>
    <row r="4" spans="1:8" ht="15" customHeight="1">
      <c r="A4" s="25" t="s">
        <v>4</v>
      </c>
      <c r="B4" s="23" t="s">
        <v>5</v>
      </c>
      <c r="C4" s="2"/>
      <c r="D4" s="1"/>
      <c r="E4" s="1"/>
      <c r="F4" s="2"/>
      <c r="G4" s="2"/>
      <c r="H4" s="2"/>
    </row>
    <row r="5" spans="1:8" ht="15" customHeight="1">
      <c r="A5" s="25" t="s">
        <v>6</v>
      </c>
      <c r="B5" s="23">
        <v>1</v>
      </c>
      <c r="C5" s="2"/>
      <c r="D5" s="1"/>
      <c r="E5" s="1"/>
      <c r="F5" s="2"/>
      <c r="G5" s="2"/>
      <c r="H5" s="2"/>
    </row>
    <row r="6" spans="1:8" ht="15" customHeight="1">
      <c r="A6" s="3"/>
      <c r="B6" s="2"/>
      <c r="C6" s="2"/>
      <c r="D6" s="1"/>
      <c r="E6" s="1"/>
      <c r="F6" s="2"/>
      <c r="G6" s="2"/>
      <c r="H6" s="2"/>
    </row>
    <row r="7" spans="1:8" ht="15" customHeight="1">
      <c r="A7" s="80" t="s">
        <v>7</v>
      </c>
      <c r="B7" s="81"/>
      <c r="C7" s="81"/>
      <c r="D7" s="81"/>
      <c r="E7" s="81"/>
      <c r="F7" s="81"/>
      <c r="G7" s="81"/>
      <c r="H7" s="82"/>
    </row>
    <row r="8" spans="1:8" ht="15" customHeight="1">
      <c r="A8" s="26" t="s">
        <v>8</v>
      </c>
      <c r="B8" s="27" t="s">
        <v>9</v>
      </c>
      <c r="C8" s="27" t="s">
        <v>10</v>
      </c>
      <c r="D8" s="28" t="s">
        <v>11</v>
      </c>
      <c r="E8" s="28" t="s">
        <v>12</v>
      </c>
      <c r="F8" s="28" t="s">
        <v>13</v>
      </c>
      <c r="G8" s="29" t="s">
        <v>14</v>
      </c>
      <c r="H8" s="29" t="s">
        <v>15</v>
      </c>
    </row>
    <row r="9" spans="1:8" ht="15" customHeight="1">
      <c r="A9" s="30"/>
      <c r="B9" t="s">
        <v>16</v>
      </c>
      <c r="C9" s="6" t="s">
        <v>17</v>
      </c>
      <c r="D9" s="4" t="s">
        <v>18</v>
      </c>
      <c r="E9" s="5">
        <v>1</v>
      </c>
      <c r="F9" s="31">
        <v>20</v>
      </c>
      <c r="G9" s="32">
        <f>IF(F9="","",E9*F9)</f>
        <v>20</v>
      </c>
      <c r="H9" s="33" t="s">
        <v>19</v>
      </c>
    </row>
    <row r="10" spans="1:8" ht="15" customHeight="1">
      <c r="A10" s="30"/>
      <c r="B10" s="15" t="s">
        <v>20</v>
      </c>
      <c r="C10" s="6" t="s">
        <v>21</v>
      </c>
      <c r="D10" s="7" t="s">
        <v>22</v>
      </c>
      <c r="E10" s="4">
        <v>1</v>
      </c>
      <c r="F10" s="34">
        <f>'Instructions &amp; Sources'!$B$27</f>
        <v>5</v>
      </c>
      <c r="G10" s="32">
        <f>IF(F10="","",E10*F10)</f>
        <v>5</v>
      </c>
      <c r="H10" s="33" t="s">
        <v>19</v>
      </c>
    </row>
    <row r="11" spans="1:8" ht="15" customHeight="1">
      <c r="A11" s="30"/>
      <c r="B11" t="s">
        <v>23</v>
      </c>
      <c r="C11" t="s">
        <v>24</v>
      </c>
      <c r="D11" s="5" t="s">
        <v>25</v>
      </c>
      <c r="E11" s="5">
        <v>1</v>
      </c>
      <c r="F11" s="35">
        <v>5.0000000000000001E-3</v>
      </c>
      <c r="G11" s="36">
        <f>IF(F11="","",E11*F11)</f>
        <v>5.0000000000000001E-3</v>
      </c>
      <c r="H11" s="33" t="s">
        <v>19</v>
      </c>
    </row>
    <row r="12" spans="1:8" ht="15" customHeight="1">
      <c r="A12" s="37"/>
      <c r="B12" t="s">
        <v>26</v>
      </c>
      <c r="C12" s="18" t="s">
        <v>27</v>
      </c>
      <c r="D12" s="19" t="s">
        <v>28</v>
      </c>
      <c r="E12" s="21">
        <v>1</v>
      </c>
      <c r="F12" s="20">
        <v>0.68</v>
      </c>
      <c r="G12" s="38">
        <f>IF(F12="","",E12*F12)</f>
        <v>0.68</v>
      </c>
      <c r="H12" s="38" t="s">
        <v>19</v>
      </c>
    </row>
    <row r="13" spans="1:8" ht="15" customHeight="1">
      <c r="A13" s="80" t="s">
        <v>29</v>
      </c>
      <c r="B13" s="81"/>
      <c r="C13" s="81"/>
      <c r="D13" s="81"/>
      <c r="E13" s="81"/>
      <c r="F13" s="81"/>
      <c r="G13" s="81"/>
      <c r="H13" s="82"/>
    </row>
    <row r="14" spans="1:8" ht="15" customHeight="1">
      <c r="A14" s="39" t="s">
        <v>30</v>
      </c>
      <c r="B14" s="27" t="s">
        <v>9</v>
      </c>
      <c r="C14" s="27" t="s">
        <v>10</v>
      </c>
      <c r="D14" s="28" t="s">
        <v>11</v>
      </c>
      <c r="E14" s="28" t="s">
        <v>12</v>
      </c>
      <c r="F14" s="28" t="s">
        <v>13</v>
      </c>
      <c r="G14" s="29" t="s">
        <v>14</v>
      </c>
      <c r="H14" s="29" t="s">
        <v>15</v>
      </c>
    </row>
    <row r="15" spans="1:8" ht="15" customHeight="1">
      <c r="A15" s="30"/>
      <c r="D15" s="4"/>
      <c r="E15" s="5"/>
      <c r="G15" s="32"/>
      <c r="H15" s="33" t="s">
        <v>19</v>
      </c>
    </row>
    <row r="16" spans="1:8" ht="15" customHeight="1">
      <c r="A16" s="30"/>
      <c r="D16" s="4"/>
      <c r="E16" s="5"/>
      <c r="G16" s="32"/>
      <c r="H16" s="33" t="s">
        <v>19</v>
      </c>
    </row>
    <row r="17" spans="1:8" ht="15" customHeight="1">
      <c r="A17" s="30"/>
      <c r="D17" s="5"/>
      <c r="E17" s="5"/>
      <c r="G17" s="32"/>
      <c r="H17" s="33" t="s">
        <v>19</v>
      </c>
    </row>
    <row r="18" spans="1:8" ht="15" customHeight="1">
      <c r="A18" s="30"/>
      <c r="D18" s="5"/>
      <c r="E18" s="5"/>
      <c r="G18" s="32"/>
      <c r="H18" s="33" t="s">
        <v>19</v>
      </c>
    </row>
    <row r="19" spans="1:8" ht="15" customHeight="1">
      <c r="A19" s="30"/>
      <c r="D19" s="5"/>
      <c r="E19" s="5"/>
      <c r="G19" s="32"/>
      <c r="H19" s="33" t="s">
        <v>19</v>
      </c>
    </row>
    <row r="20" spans="1:8" ht="15" customHeight="1">
      <c r="A20" s="30"/>
      <c r="B20" s="87" t="s">
        <v>31</v>
      </c>
      <c r="C20" s="87"/>
      <c r="D20" s="87"/>
      <c r="E20" s="87"/>
      <c r="F20" s="88"/>
      <c r="G20" s="32"/>
      <c r="H20" s="33" t="s">
        <v>19</v>
      </c>
    </row>
    <row r="21" spans="1:8" ht="15" customHeight="1">
      <c r="A21" s="30"/>
      <c r="B21" s="87" t="s">
        <v>32</v>
      </c>
      <c r="C21" s="87"/>
      <c r="D21" s="87"/>
      <c r="E21" s="87"/>
      <c r="F21" s="88"/>
      <c r="G21" s="40"/>
      <c r="H21" s="40"/>
    </row>
    <row r="22" spans="1:8" ht="15" customHeight="1">
      <c r="A22" s="41"/>
      <c r="B22" s="89" t="s">
        <v>33</v>
      </c>
      <c r="C22" s="89"/>
      <c r="D22" s="89"/>
      <c r="E22" s="89"/>
      <c r="F22" s="90"/>
      <c r="G22" s="32"/>
      <c r="H22" s="33" t="s">
        <v>19</v>
      </c>
    </row>
    <row r="23" spans="1:8" ht="15" customHeight="1">
      <c r="A23" s="42"/>
      <c r="B23" s="10"/>
      <c r="C23" s="10"/>
      <c r="D23" s="4"/>
      <c r="E23" s="4"/>
      <c r="F23" s="11"/>
      <c r="G23" s="43"/>
      <c r="H23" s="32"/>
    </row>
    <row r="24" spans="1:8" ht="15" customHeight="1">
      <c r="A24" s="42" t="s">
        <v>34</v>
      </c>
      <c r="B24" s="10"/>
      <c r="C24" s="10"/>
      <c r="D24" s="4"/>
      <c r="E24" s="4"/>
      <c r="F24" s="11"/>
      <c r="G24" s="43"/>
      <c r="H24" s="33" t="s">
        <v>19</v>
      </c>
    </row>
    <row r="25" spans="1:8" ht="15" customHeight="1">
      <c r="A25" s="44"/>
      <c r="B25" s="91" t="s">
        <v>35</v>
      </c>
      <c r="C25" s="91"/>
      <c r="D25" s="91"/>
      <c r="E25" s="91"/>
      <c r="F25" s="92"/>
      <c r="G25" s="43"/>
      <c r="H25" s="33" t="s">
        <v>19</v>
      </c>
    </row>
    <row r="26" spans="1:8" ht="15" customHeight="1">
      <c r="A26" s="39" t="s">
        <v>36</v>
      </c>
      <c r="B26" s="27" t="s">
        <v>9</v>
      </c>
      <c r="C26" s="27" t="s">
        <v>10</v>
      </c>
      <c r="D26" s="28" t="s">
        <v>11</v>
      </c>
      <c r="E26" s="28" t="s">
        <v>12</v>
      </c>
      <c r="F26" s="28" t="s">
        <v>13</v>
      </c>
      <c r="G26" s="45" t="s">
        <v>14</v>
      </c>
      <c r="H26" s="45" t="s">
        <v>15</v>
      </c>
    </row>
    <row r="27" spans="1:8" ht="15" customHeight="1">
      <c r="A27" s="30"/>
      <c r="B27" t="s">
        <v>16</v>
      </c>
      <c r="C27" t="s">
        <v>17</v>
      </c>
      <c r="D27" s="5" t="s">
        <v>18</v>
      </c>
      <c r="E27" s="5">
        <v>1</v>
      </c>
      <c r="F27" s="31">
        <v>20</v>
      </c>
      <c r="G27" s="32">
        <f>IF(F27="","",E27*F27)</f>
        <v>20</v>
      </c>
      <c r="H27" s="33" t="s">
        <v>19</v>
      </c>
    </row>
    <row r="28" spans="1:8" ht="15" customHeight="1">
      <c r="A28" s="30"/>
      <c r="B28" s="6" t="s">
        <v>20</v>
      </c>
      <c r="C28" s="6" t="s">
        <v>21</v>
      </c>
      <c r="D28" s="4" t="s">
        <v>22</v>
      </c>
      <c r="E28" s="4">
        <v>1</v>
      </c>
      <c r="F28" s="34">
        <f>'Instructions &amp; Sources'!$B$27</f>
        <v>5</v>
      </c>
      <c r="G28" s="32">
        <f>IF(F28="","",E28*F28)</f>
        <v>5</v>
      </c>
      <c r="H28" s="33" t="s">
        <v>19</v>
      </c>
    </row>
    <row r="29" spans="1:8" ht="15" customHeight="1">
      <c r="A29" s="30"/>
      <c r="B29" t="s">
        <v>23</v>
      </c>
      <c r="C29" t="s">
        <v>24</v>
      </c>
      <c r="D29" s="5" t="s">
        <v>25</v>
      </c>
      <c r="E29" s="5">
        <v>1</v>
      </c>
      <c r="F29" s="35">
        <v>5.0000000000000001E-3</v>
      </c>
      <c r="G29" s="36">
        <f>IF(F29="","",E29*F29)</f>
        <v>5.0000000000000001E-3</v>
      </c>
      <c r="H29" s="33" t="s">
        <v>19</v>
      </c>
    </row>
    <row r="30" spans="1:8" ht="15" customHeight="1">
      <c r="A30" s="30"/>
      <c r="B30" t="s">
        <v>26</v>
      </c>
      <c r="C30" s="18" t="s">
        <v>27</v>
      </c>
      <c r="D30" s="19" t="s">
        <v>28</v>
      </c>
      <c r="E30" s="21">
        <v>1</v>
      </c>
      <c r="F30" s="22">
        <v>0.68</v>
      </c>
      <c r="G30" s="38">
        <f>IF(F30="","",E30*F30)</f>
        <v>0.68</v>
      </c>
      <c r="H30" s="38" t="s">
        <v>19</v>
      </c>
    </row>
    <row r="31" spans="1:8" ht="15" customHeight="1">
      <c r="A31" s="30"/>
      <c r="D31" s="5"/>
      <c r="E31" s="5"/>
      <c r="G31" s="32" t="str">
        <f>IF(F31="","",E31*F31)</f>
        <v/>
      </c>
      <c r="H31" s="33" t="s">
        <v>19</v>
      </c>
    </row>
    <row r="32" spans="1:8" ht="15" customHeight="1">
      <c r="A32" s="30"/>
      <c r="B32" s="87" t="s">
        <v>31</v>
      </c>
      <c r="C32" s="87"/>
      <c r="D32" s="87"/>
      <c r="E32" s="87"/>
      <c r="F32" s="88"/>
      <c r="G32" s="32">
        <f>IF(COUNT(F27:F29)&lt;3,"",SUM(G27:G31))</f>
        <v>25.684999999999999</v>
      </c>
      <c r="H32" s="33" t="s">
        <v>19</v>
      </c>
    </row>
    <row r="33" spans="1:8" ht="15" customHeight="1">
      <c r="A33" s="30"/>
      <c r="B33" s="87" t="s">
        <v>32</v>
      </c>
      <c r="C33" s="87"/>
      <c r="D33" s="87"/>
      <c r="E33" s="87"/>
      <c r="F33" s="88"/>
      <c r="G33" s="40">
        <v>0.25</v>
      </c>
      <c r="H33" s="40"/>
    </row>
    <row r="34" spans="1:8" ht="15" customHeight="1">
      <c r="A34" s="41"/>
      <c r="B34" s="89" t="s">
        <v>37</v>
      </c>
      <c r="C34" s="89"/>
      <c r="D34" s="89"/>
      <c r="E34" s="89"/>
      <c r="F34" s="90"/>
      <c r="G34" s="32">
        <f>IF(G32="","",G32*(1+G33))</f>
        <v>32.106249999999996</v>
      </c>
      <c r="H34" s="33" t="s">
        <v>19</v>
      </c>
    </row>
    <row r="35" spans="1:8" ht="15" customHeight="1">
      <c r="A35" s="42"/>
      <c r="B35" s="10"/>
      <c r="C35" s="10"/>
      <c r="D35" s="4"/>
      <c r="E35" s="4"/>
      <c r="F35" s="11"/>
      <c r="G35" s="43"/>
      <c r="H35" s="32"/>
    </row>
    <row r="36" spans="1:8" ht="15" customHeight="1">
      <c r="A36" s="42" t="s">
        <v>38</v>
      </c>
      <c r="B36" s="10" t="s">
        <v>39</v>
      </c>
      <c r="C36" s="10" t="s">
        <v>40</v>
      </c>
      <c r="D36" s="4" t="s">
        <v>41</v>
      </c>
      <c r="E36" s="4">
        <v>1</v>
      </c>
      <c r="F36" s="17">
        <v>1500</v>
      </c>
      <c r="G36" s="43">
        <f>IF(F36="","",E36*F36)</f>
        <v>1500</v>
      </c>
      <c r="H36" s="33" t="s">
        <v>19</v>
      </c>
    </row>
    <row r="37" spans="1:8" ht="15" customHeight="1">
      <c r="A37" s="44"/>
      <c r="B37" s="91" t="s">
        <v>42</v>
      </c>
      <c r="C37" s="91"/>
      <c r="D37" s="91"/>
      <c r="E37" s="91"/>
      <c r="F37" s="92"/>
      <c r="G37" s="43">
        <f>IF(G34="","",G36-G34)</f>
        <v>1467.89375</v>
      </c>
      <c r="H37" s="33" t="s">
        <v>19</v>
      </c>
    </row>
    <row r="38" spans="1:8" ht="15" customHeight="1">
      <c r="A38" s="39" t="s">
        <v>43</v>
      </c>
      <c r="B38" s="27"/>
      <c r="C38" s="27"/>
      <c r="D38" s="28"/>
      <c r="E38" s="28"/>
      <c r="F38" s="28"/>
      <c r="G38" s="45"/>
      <c r="H38" s="45" t="s">
        <v>15</v>
      </c>
    </row>
    <row r="39" spans="1:8" ht="15" customHeight="1">
      <c r="A39" s="30"/>
      <c r="B39" s="6"/>
      <c r="D39" s="4"/>
      <c r="E39" s="5"/>
      <c r="F39" s="6"/>
      <c r="G39" s="33"/>
      <c r="H39" s="33" t="s">
        <v>19</v>
      </c>
    </row>
    <row r="40" spans="1:8" ht="15" customHeight="1">
      <c r="A40" s="30"/>
      <c r="D40" s="5"/>
      <c r="E40" s="5"/>
      <c r="G40" s="32"/>
      <c r="H40" s="33" t="s">
        <v>19</v>
      </c>
    </row>
    <row r="41" spans="1:8" ht="15" customHeight="1">
      <c r="A41" s="30"/>
      <c r="D41" s="5"/>
      <c r="E41" s="5"/>
      <c r="G41" s="32"/>
      <c r="H41" s="33" t="s">
        <v>19</v>
      </c>
    </row>
    <row r="42" spans="1:8" ht="15" customHeight="1">
      <c r="A42" s="30"/>
      <c r="D42" s="5"/>
      <c r="E42" s="5"/>
      <c r="G42" s="32"/>
      <c r="H42" s="33" t="s">
        <v>19</v>
      </c>
    </row>
    <row r="43" spans="1:8" ht="15" customHeight="1">
      <c r="A43" s="30"/>
      <c r="B43" s="87" t="s">
        <v>31</v>
      </c>
      <c r="C43" s="87"/>
      <c r="D43" s="87"/>
      <c r="E43" s="87"/>
      <c r="F43" s="88"/>
      <c r="G43" s="32"/>
      <c r="H43" s="33" t="s">
        <v>19</v>
      </c>
    </row>
    <row r="44" spans="1:8" ht="15" customHeight="1">
      <c r="A44" s="30"/>
      <c r="B44" s="87" t="s">
        <v>32</v>
      </c>
      <c r="C44" s="87"/>
      <c r="D44" s="87"/>
      <c r="E44" s="87"/>
      <c r="F44" s="88"/>
      <c r="G44" s="40"/>
      <c r="H44" s="40"/>
    </row>
    <row r="45" spans="1:8" ht="15" customHeight="1">
      <c r="A45" s="30"/>
      <c r="B45" s="89" t="s">
        <v>44</v>
      </c>
      <c r="C45" s="89"/>
      <c r="D45" s="89"/>
      <c r="E45" s="89"/>
      <c r="F45" s="90"/>
      <c r="G45" s="32"/>
      <c r="H45" s="33" t="s">
        <v>19</v>
      </c>
    </row>
    <row r="46" spans="1:8" ht="15" customHeight="1">
      <c r="A46" s="42"/>
      <c r="B46" s="10"/>
      <c r="C46" s="10"/>
      <c r="D46" s="4"/>
      <c r="E46" s="4"/>
      <c r="F46" s="11"/>
      <c r="G46" s="43"/>
      <c r="H46" s="32"/>
    </row>
    <row r="47" spans="1:8" ht="15" customHeight="1">
      <c r="A47" s="42" t="s">
        <v>45</v>
      </c>
      <c r="B47" s="10"/>
      <c r="C47" s="10"/>
      <c r="D47" s="4"/>
      <c r="E47" s="4"/>
      <c r="F47" s="11"/>
      <c r="G47" s="43"/>
      <c r="H47" s="33" t="s">
        <v>19</v>
      </c>
    </row>
    <row r="48" spans="1:8" ht="15" customHeight="1">
      <c r="A48" s="44"/>
      <c r="B48" s="91" t="s">
        <v>46</v>
      </c>
      <c r="C48" s="91"/>
      <c r="D48" s="91"/>
      <c r="E48" s="91"/>
      <c r="F48" s="92"/>
      <c r="G48" s="43"/>
      <c r="H48" s="33" t="s">
        <v>19</v>
      </c>
    </row>
    <row r="49" spans="1:8" ht="15" customHeight="1">
      <c r="A49" s="39" t="s">
        <v>47</v>
      </c>
      <c r="B49" s="27" t="s">
        <v>9</v>
      </c>
      <c r="C49" s="27" t="s">
        <v>10</v>
      </c>
      <c r="D49" s="28" t="s">
        <v>11</v>
      </c>
      <c r="E49" s="28" t="s">
        <v>12</v>
      </c>
      <c r="F49" s="28" t="s">
        <v>13</v>
      </c>
      <c r="G49" s="45" t="s">
        <v>14</v>
      </c>
      <c r="H49" s="45" t="s">
        <v>15</v>
      </c>
    </row>
    <row r="50" spans="1:8" ht="15" customHeight="1">
      <c r="A50" s="30"/>
      <c r="B50" s="6"/>
      <c r="D50" s="4"/>
      <c r="E50" s="5"/>
      <c r="G50" s="32"/>
      <c r="H50" s="33" t="s">
        <v>19</v>
      </c>
    </row>
    <row r="51" spans="1:8" ht="15" customHeight="1">
      <c r="A51" s="30"/>
      <c r="D51" s="5"/>
      <c r="E51" s="5"/>
      <c r="G51" s="32"/>
      <c r="H51" s="33" t="s">
        <v>19</v>
      </c>
    </row>
    <row r="52" spans="1:8" ht="15" customHeight="1">
      <c r="A52" s="30"/>
      <c r="D52" s="5"/>
      <c r="E52" s="5"/>
      <c r="G52" s="32"/>
      <c r="H52" s="33" t="s">
        <v>19</v>
      </c>
    </row>
    <row r="53" spans="1:8" ht="15" customHeight="1">
      <c r="A53" s="30"/>
      <c r="D53" s="5"/>
      <c r="E53" s="5"/>
      <c r="G53" s="32"/>
      <c r="H53" s="33" t="s">
        <v>19</v>
      </c>
    </row>
    <row r="54" spans="1:8" ht="15" customHeight="1">
      <c r="A54" s="30"/>
      <c r="B54" s="87" t="s">
        <v>31</v>
      </c>
      <c r="C54" s="87"/>
      <c r="D54" s="87"/>
      <c r="E54" s="87"/>
      <c r="F54" s="88"/>
      <c r="G54" s="32"/>
      <c r="H54" s="33" t="s">
        <v>19</v>
      </c>
    </row>
    <row r="55" spans="1:8" ht="15" customHeight="1">
      <c r="A55" s="30"/>
      <c r="B55" s="87" t="s">
        <v>32</v>
      </c>
      <c r="C55" s="87"/>
      <c r="D55" s="87"/>
      <c r="E55" s="87"/>
      <c r="F55" s="88"/>
      <c r="G55" s="40"/>
      <c r="H55" s="40"/>
    </row>
    <row r="56" spans="1:8" ht="15" customHeight="1">
      <c r="A56" s="30"/>
      <c r="B56" s="89" t="s">
        <v>48</v>
      </c>
      <c r="C56" s="89"/>
      <c r="D56" s="89"/>
      <c r="E56" s="89"/>
      <c r="F56" s="90"/>
      <c r="G56" s="32"/>
      <c r="H56" s="33" t="s">
        <v>19</v>
      </c>
    </row>
    <row r="57" spans="1:8" ht="15" customHeight="1">
      <c r="A57" s="42"/>
      <c r="B57" s="6"/>
      <c r="D57" s="4"/>
      <c r="E57" s="5"/>
      <c r="G57" s="32"/>
      <c r="H57" s="46"/>
    </row>
    <row r="58" spans="1:8" ht="15" customHeight="1">
      <c r="A58" s="42" t="s">
        <v>49</v>
      </c>
      <c r="B58" s="6"/>
      <c r="D58" s="4"/>
      <c r="E58" s="5"/>
      <c r="G58" s="32"/>
      <c r="H58" s="33" t="s">
        <v>19</v>
      </c>
    </row>
    <row r="59" spans="1:8" ht="15" customHeight="1">
      <c r="A59" s="30"/>
      <c r="B59" s="84" t="s">
        <v>50</v>
      </c>
      <c r="C59" s="84"/>
      <c r="D59" s="84"/>
      <c r="E59" s="84"/>
      <c r="F59" s="85"/>
      <c r="G59" s="43"/>
      <c r="H59" s="33" t="s">
        <v>19</v>
      </c>
    </row>
    <row r="60" spans="1:8" ht="15" customHeight="1">
      <c r="A60" s="47"/>
      <c r="B60" s="12"/>
      <c r="C60" s="12"/>
      <c r="D60" s="12"/>
      <c r="E60" s="12"/>
      <c r="F60" s="12"/>
      <c r="G60" s="48"/>
      <c r="H60" s="49"/>
    </row>
    <row r="61" spans="1:8" ht="15" customHeight="1">
      <c r="A61" s="80" t="s">
        <v>51</v>
      </c>
      <c r="B61" s="81"/>
      <c r="C61" s="81"/>
      <c r="D61" s="81"/>
      <c r="E61" s="81"/>
      <c r="F61" s="81"/>
      <c r="G61" s="81"/>
      <c r="H61" s="82"/>
    </row>
    <row r="62" spans="1:8" ht="15" customHeight="1">
      <c r="A62" s="75"/>
      <c r="B62" s="76"/>
      <c r="C62" s="76"/>
      <c r="D62" s="76"/>
      <c r="E62" s="76"/>
      <c r="F62" s="76"/>
      <c r="G62" s="76"/>
      <c r="H62" s="77"/>
    </row>
    <row r="63" spans="1:8" ht="15" customHeight="1">
      <c r="A63" s="80" t="s">
        <v>52</v>
      </c>
      <c r="B63" s="81"/>
      <c r="C63" s="81"/>
      <c r="D63" s="81"/>
      <c r="E63" s="81"/>
      <c r="F63" s="81"/>
      <c r="G63" s="81"/>
      <c r="H63" s="82"/>
    </row>
    <row r="64" spans="1:8" ht="15" customHeight="1">
      <c r="A64" s="39" t="s">
        <v>53</v>
      </c>
      <c r="B64" s="27" t="s">
        <v>9</v>
      </c>
      <c r="C64" s="27" t="s">
        <v>10</v>
      </c>
      <c r="D64" s="28" t="s">
        <v>11</v>
      </c>
      <c r="E64" s="50" t="s">
        <v>54</v>
      </c>
      <c r="F64" s="28" t="s">
        <v>13</v>
      </c>
      <c r="G64" s="45" t="s">
        <v>14</v>
      </c>
      <c r="H64" s="45" t="s">
        <v>15</v>
      </c>
    </row>
    <row r="65" spans="1:8" ht="15" customHeight="1">
      <c r="A65" s="51" t="s">
        <v>55</v>
      </c>
      <c r="B65" s="10" t="s">
        <v>56</v>
      </c>
      <c r="C65" s="4" t="s">
        <v>57</v>
      </c>
      <c r="D65" s="4" t="s">
        <v>58</v>
      </c>
      <c r="E65" s="4" t="s">
        <v>59</v>
      </c>
      <c r="F65" s="16">
        <v>1000</v>
      </c>
      <c r="G65" s="52">
        <f>IF(F65="","",F65)</f>
        <v>1000</v>
      </c>
      <c r="H65" s="53" t="s">
        <v>19</v>
      </c>
    </row>
    <row r="66" spans="1:8" ht="15" customHeight="1">
      <c r="A66" s="54"/>
      <c r="B66" s="10"/>
      <c r="C66" s="10"/>
      <c r="D66" s="4"/>
      <c r="E66" s="4"/>
      <c r="F66" s="11"/>
      <c r="G66" s="43"/>
      <c r="H66" s="55"/>
    </row>
    <row r="67" spans="1:8" ht="15" customHeight="1">
      <c r="A67" s="83" t="s">
        <v>60</v>
      </c>
      <c r="B67" s="10" t="s">
        <v>61</v>
      </c>
      <c r="C67" s="10" t="s">
        <v>40</v>
      </c>
      <c r="D67" s="4" t="s">
        <v>62</v>
      </c>
      <c r="E67" s="4">
        <v>1</v>
      </c>
      <c r="F67" s="16">
        <f>IF(G34="","",G34+'Instructions &amp; Sources'!$B$38)</f>
        <v>40.106249999999996</v>
      </c>
      <c r="G67" s="43">
        <f>IF(F67="","",E67*F67)</f>
        <v>40.106249999999996</v>
      </c>
      <c r="H67" s="33" t="s">
        <v>19</v>
      </c>
    </row>
    <row r="68" spans="1:8" ht="15" customHeight="1">
      <c r="A68" s="83"/>
      <c r="B68" s="10"/>
      <c r="C68" s="10"/>
      <c r="D68" s="4"/>
      <c r="E68" s="4"/>
      <c r="F68" s="11"/>
      <c r="G68" s="43"/>
      <c r="H68" s="33" t="s">
        <v>19</v>
      </c>
    </row>
    <row r="69" spans="1:8" ht="15" customHeight="1">
      <c r="A69" s="83"/>
      <c r="B69" s="6"/>
      <c r="D69" s="4"/>
      <c r="E69" s="5"/>
      <c r="G69" s="32"/>
      <c r="H69" s="33" t="s">
        <v>19</v>
      </c>
    </row>
    <row r="70" spans="1:8" ht="15" customHeight="1">
      <c r="A70" s="54"/>
      <c r="B70" s="84" t="s">
        <v>63</v>
      </c>
      <c r="C70" s="84"/>
      <c r="D70" s="84"/>
      <c r="E70" s="84"/>
      <c r="F70" s="85"/>
      <c r="G70" s="52">
        <f>IF(OR(G65="",G67=""),"",G65-SUM(G67:G69))</f>
        <v>959.89374999999995</v>
      </c>
      <c r="H70" s="53" t="s">
        <v>19</v>
      </c>
    </row>
    <row r="71" spans="1:8" ht="15" customHeight="1">
      <c r="A71" s="54"/>
      <c r="B71" s="1"/>
      <c r="C71" s="1"/>
      <c r="D71" s="8"/>
      <c r="E71" s="8"/>
      <c r="F71" s="8"/>
      <c r="G71" s="56"/>
      <c r="H71" s="57"/>
    </row>
    <row r="72" spans="1:8" ht="15" customHeight="1">
      <c r="A72" s="39" t="s">
        <v>64</v>
      </c>
      <c r="B72" s="27" t="s">
        <v>9</v>
      </c>
      <c r="C72" s="27" t="s">
        <v>10</v>
      </c>
      <c r="D72" s="28" t="s">
        <v>11</v>
      </c>
      <c r="E72" s="50" t="s">
        <v>54</v>
      </c>
      <c r="F72" s="28" t="s">
        <v>13</v>
      </c>
      <c r="G72" s="45" t="s">
        <v>14</v>
      </c>
      <c r="H72" s="45" t="s">
        <v>15</v>
      </c>
    </row>
    <row r="73" spans="1:8" ht="15" customHeight="1">
      <c r="A73" s="51" t="s">
        <v>65</v>
      </c>
      <c r="B73" s="10"/>
      <c r="C73" s="4"/>
      <c r="D73" s="4"/>
      <c r="E73" s="4"/>
      <c r="F73" s="11"/>
      <c r="G73" s="52"/>
      <c r="H73" s="53" t="s">
        <v>19</v>
      </c>
    </row>
    <row r="74" spans="1:8" ht="15" customHeight="1">
      <c r="A74" s="54"/>
      <c r="B74" s="10"/>
      <c r="C74" s="10"/>
      <c r="D74" s="4"/>
      <c r="E74" s="4"/>
      <c r="F74" s="11"/>
      <c r="G74" s="43"/>
      <c r="H74" s="55"/>
    </row>
    <row r="75" spans="1:8" ht="15" customHeight="1">
      <c r="A75" s="83" t="s">
        <v>66</v>
      </c>
      <c r="B75" s="10"/>
      <c r="C75" s="10"/>
      <c r="D75" s="4"/>
      <c r="E75" s="4"/>
      <c r="F75" s="11"/>
      <c r="G75" s="43"/>
      <c r="H75" s="33" t="s">
        <v>19</v>
      </c>
    </row>
    <row r="76" spans="1:8" ht="15" customHeight="1">
      <c r="A76" s="83"/>
      <c r="B76" s="10"/>
      <c r="C76" s="10"/>
      <c r="D76" s="4"/>
      <c r="E76" s="4"/>
      <c r="F76" s="11"/>
      <c r="G76" s="43"/>
      <c r="H76" s="33"/>
    </row>
    <row r="77" spans="1:8" ht="15" customHeight="1">
      <c r="A77" s="83"/>
      <c r="B77" s="6"/>
      <c r="D77" s="4"/>
      <c r="E77" s="5"/>
      <c r="G77" s="32"/>
      <c r="H77" s="33"/>
    </row>
    <row r="78" spans="1:8" ht="15" customHeight="1">
      <c r="A78" s="54"/>
      <c r="B78" s="84" t="s">
        <v>67</v>
      </c>
      <c r="C78" s="84"/>
      <c r="D78" s="84"/>
      <c r="E78" s="84"/>
      <c r="F78" s="85"/>
      <c r="G78" s="52"/>
      <c r="H78" s="53" t="s">
        <v>19</v>
      </c>
    </row>
    <row r="79" spans="1:8" ht="15" customHeight="1">
      <c r="A79" s="41"/>
      <c r="B79" s="6"/>
      <c r="D79" s="13"/>
      <c r="E79" s="4"/>
      <c r="F79" s="6"/>
      <c r="G79" s="32"/>
      <c r="H79" s="58"/>
    </row>
    <row r="80" spans="1:8" ht="15" customHeight="1">
      <c r="A80" s="80" t="s">
        <v>68</v>
      </c>
      <c r="B80" s="81"/>
      <c r="C80" s="81"/>
      <c r="D80" s="81"/>
      <c r="E80" s="81"/>
      <c r="F80" s="82"/>
      <c r="G80" s="59"/>
      <c r="H80" s="59"/>
    </row>
    <row r="81" spans="1:8" ht="15" customHeight="1">
      <c r="A81" s="60"/>
      <c r="B81" s="61"/>
      <c r="C81" s="61"/>
      <c r="D81" s="62"/>
      <c r="E81" s="62"/>
      <c r="F81" s="62"/>
      <c r="G81" s="63"/>
      <c r="H81" s="64"/>
    </row>
    <row r="82" spans="1:8" ht="15" customHeight="1">
      <c r="A82" s="30"/>
      <c r="D82" s="4"/>
      <c r="E82" s="5"/>
      <c r="F82" s="6"/>
      <c r="G82" s="32"/>
      <c r="H82" s="32"/>
    </row>
    <row r="83" spans="1:8" ht="15" customHeight="1">
      <c r="A83" s="30"/>
      <c r="B83" t="s">
        <v>69</v>
      </c>
      <c r="D83" s="5"/>
      <c r="E83" s="5"/>
      <c r="F83" s="9" t="s">
        <v>70</v>
      </c>
      <c r="G83" s="32"/>
      <c r="H83" s="33" t="s">
        <v>71</v>
      </c>
    </row>
    <row r="84" spans="1:8" ht="15" customHeight="1">
      <c r="A84" s="86" t="s">
        <v>72</v>
      </c>
      <c r="B84" s="86"/>
      <c r="C84" s="86"/>
      <c r="D84" s="86"/>
      <c r="E84" s="86"/>
      <c r="F84" s="86"/>
      <c r="G84" s="14"/>
      <c r="H84" s="14"/>
    </row>
    <row r="85" spans="1:8" ht="15" customHeight="1">
      <c r="A85" s="78" t="s">
        <v>73</v>
      </c>
      <c r="B85" s="78"/>
      <c r="C85" s="78"/>
      <c r="D85" s="78"/>
      <c r="E85" s="78"/>
      <c r="F85" s="78"/>
      <c r="G85" s="78"/>
      <c r="H85" s="78"/>
    </row>
    <row r="86" spans="1:8" ht="15" customHeight="1">
      <c r="A86" s="79" t="s">
        <v>74</v>
      </c>
      <c r="B86" s="79"/>
      <c r="C86" s="79"/>
      <c r="D86" s="79"/>
      <c r="E86" s="79"/>
      <c r="F86" s="79"/>
      <c r="G86" s="79"/>
      <c r="H86" s="79"/>
    </row>
  </sheetData>
  <mergeCells count="30">
    <mergeCell ref="A1:H1"/>
    <mergeCell ref="A7:H7"/>
    <mergeCell ref="A13:H13"/>
    <mergeCell ref="B20:F20"/>
    <mergeCell ref="B21:F21"/>
    <mergeCell ref="B22:F22"/>
    <mergeCell ref="B25:F25"/>
    <mergeCell ref="B32:F32"/>
    <mergeCell ref="B33:F33"/>
    <mergeCell ref="B34:F34"/>
    <mergeCell ref="B37:F37"/>
    <mergeCell ref="B43:F43"/>
    <mergeCell ref="B44:F44"/>
    <mergeCell ref="B45:F45"/>
    <mergeCell ref="B48:F48"/>
    <mergeCell ref="B54:F54"/>
    <mergeCell ref="B55:F55"/>
    <mergeCell ref="B56:F56"/>
    <mergeCell ref="B59:F59"/>
    <mergeCell ref="A61:H61"/>
    <mergeCell ref="A62:H62"/>
    <mergeCell ref="A85:H85"/>
    <mergeCell ref="A86:H86"/>
    <mergeCell ref="A63:H63"/>
    <mergeCell ref="A67:A69"/>
    <mergeCell ref="B70:F70"/>
    <mergeCell ref="A75:A77"/>
    <mergeCell ref="B78:F78"/>
    <mergeCell ref="A80:F80"/>
    <mergeCell ref="A84:F84"/>
  </mergeCells>
  <conditionalFormatting sqref="G25 G37 G48 G59">
    <cfRule type="cellIs" dxfId="0" priority="1" operator="lessThan">
      <formula>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3"/>
  <sheetViews>
    <sheetView workbookViewId="0">
      <pane ySplit="3" topLeftCell="A4" activePane="bottomLeft" state="frozen"/>
      <selection pane="bottomLeft"/>
    </sheetView>
  </sheetViews>
  <sheetFormatPr defaultRowHeight="15"/>
  <cols>
    <col min="1" max="1" width="27" customWidth="1"/>
    <col min="2" max="2" width="22" customWidth="1"/>
    <col min="3" max="4" width="62" customWidth="1"/>
  </cols>
  <sheetData>
    <row r="1" spans="1:4" ht="27.95" customHeight="1">
      <c r="A1" s="94" t="s">
        <v>75</v>
      </c>
      <c r="B1" s="94"/>
      <c r="C1" s="94"/>
      <c r="D1" s="94"/>
    </row>
    <row r="3" spans="1:4" ht="24.95" customHeight="1">
      <c r="A3" s="65" t="s">
        <v>76</v>
      </c>
      <c r="B3" s="65" t="s">
        <v>77</v>
      </c>
      <c r="C3" s="65" t="s">
        <v>78</v>
      </c>
      <c r="D3" s="65" t="s">
        <v>79</v>
      </c>
    </row>
    <row r="4" spans="1:4" ht="51.95" customHeight="1">
      <c r="A4" s="68" t="s">
        <v>80</v>
      </c>
      <c r="B4" s="68" t="s">
        <v>81</v>
      </c>
      <c r="C4" s="68" t="s">
        <v>82</v>
      </c>
      <c r="D4" s="68" t="s">
        <v>83</v>
      </c>
    </row>
    <row r="5" spans="1:4" ht="81.95" customHeight="1">
      <c r="A5" s="68" t="s">
        <v>84</v>
      </c>
      <c r="B5" s="68" t="s">
        <v>85</v>
      </c>
      <c r="C5" s="68" t="s">
        <v>86</v>
      </c>
      <c r="D5" s="68" t="s">
        <v>87</v>
      </c>
    </row>
    <row r="6" spans="1:4" ht="51.95" customHeight="1">
      <c r="A6" s="68" t="s">
        <v>88</v>
      </c>
      <c r="B6" s="68" t="s">
        <v>89</v>
      </c>
      <c r="C6" s="68" t="s">
        <v>90</v>
      </c>
      <c r="D6" s="68" t="s">
        <v>91</v>
      </c>
    </row>
    <row r="7" spans="1:4" ht="51.95" customHeight="1">
      <c r="A7" s="68" t="s">
        <v>92</v>
      </c>
      <c r="B7" s="68" t="s">
        <v>93</v>
      </c>
      <c r="C7" s="68" t="s">
        <v>94</v>
      </c>
      <c r="D7" s="68" t="s">
        <v>95</v>
      </c>
    </row>
    <row r="8" spans="1:4" ht="51.95" customHeight="1">
      <c r="A8" s="68" t="s">
        <v>96</v>
      </c>
      <c r="B8" s="68" t="s">
        <v>97</v>
      </c>
      <c r="C8" s="68" t="s">
        <v>98</v>
      </c>
      <c r="D8" s="68" t="s">
        <v>99</v>
      </c>
    </row>
    <row r="9" spans="1:4" ht="51.95" customHeight="1">
      <c r="A9" s="68" t="s">
        <v>100</v>
      </c>
      <c r="B9" s="68" t="s">
        <v>101</v>
      </c>
      <c r="C9" s="68" t="s">
        <v>102</v>
      </c>
      <c r="D9" s="68" t="s">
        <v>103</v>
      </c>
    </row>
    <row r="10" spans="1:4" ht="69.95" customHeight="1">
      <c r="A10" s="68" t="s">
        <v>104</v>
      </c>
      <c r="B10" s="68" t="s">
        <v>105</v>
      </c>
      <c r="C10" s="68" t="s">
        <v>106</v>
      </c>
      <c r="D10" s="68" t="s">
        <v>107</v>
      </c>
    </row>
    <row r="11" spans="1:4" ht="75" customHeight="1">
      <c r="A11" s="68" t="s">
        <v>108</v>
      </c>
      <c r="B11" s="68" t="s">
        <v>109</v>
      </c>
      <c r="C11" s="68" t="s">
        <v>110</v>
      </c>
      <c r="D11" s="68" t="s">
        <v>111</v>
      </c>
    </row>
    <row r="12" spans="1:4">
      <c r="A12" s="95" t="s">
        <v>112</v>
      </c>
      <c r="B12" s="95"/>
      <c r="C12" s="95"/>
      <c r="D12" s="95"/>
    </row>
    <row r="13" spans="1:4" ht="39.950000000000003" customHeight="1">
      <c r="A13" s="68" t="s">
        <v>113</v>
      </c>
      <c r="B13" s="68" t="s">
        <v>114</v>
      </c>
      <c r="C13" s="68"/>
      <c r="D13" s="68"/>
    </row>
    <row r="14" spans="1:4" ht="39.950000000000003" customHeight="1">
      <c r="A14" s="68" t="s">
        <v>115</v>
      </c>
      <c r="B14" s="68" t="s">
        <v>116</v>
      </c>
      <c r="C14" s="68"/>
      <c r="D14" s="68"/>
    </row>
    <row r="15" spans="1:4" ht="39.950000000000003" customHeight="1">
      <c r="A15" s="68" t="s">
        <v>117</v>
      </c>
      <c r="B15" s="68" t="s">
        <v>118</v>
      </c>
      <c r="C15" s="68"/>
      <c r="D15" s="68"/>
    </row>
    <row r="16" spans="1:4" ht="39.950000000000003" customHeight="1">
      <c r="A16" s="68" t="s">
        <v>119</v>
      </c>
      <c r="B16" s="68" t="s">
        <v>120</v>
      </c>
      <c r="C16" s="68" t="s">
        <v>121</v>
      </c>
      <c r="D16" s="68" t="s">
        <v>122</v>
      </c>
    </row>
    <row r="17" spans="1:4">
      <c r="A17" s="68"/>
      <c r="B17" s="68"/>
      <c r="C17" s="68"/>
      <c r="D17" s="68"/>
    </row>
    <row r="18" spans="1:4">
      <c r="A18" s="65" t="s">
        <v>123</v>
      </c>
      <c r="B18" s="65" t="s">
        <v>124</v>
      </c>
      <c r="C18" s="65"/>
      <c r="D18" s="65"/>
    </row>
    <row r="19" spans="1:4" ht="33.950000000000003" customHeight="1">
      <c r="A19" s="68" t="s">
        <v>125</v>
      </c>
      <c r="B19" s="68" t="s">
        <v>126</v>
      </c>
      <c r="C19" s="68"/>
      <c r="D19" s="68"/>
    </row>
    <row r="20" spans="1:4" ht="33.950000000000003" customHeight="1">
      <c r="A20" s="68" t="s">
        <v>127</v>
      </c>
      <c r="B20" s="68" t="s">
        <v>128</v>
      </c>
      <c r="C20" s="68"/>
      <c r="D20" s="68"/>
    </row>
    <row r="21" spans="1:4" ht="33.950000000000003" customHeight="1">
      <c r="A21" s="68" t="s">
        <v>129</v>
      </c>
      <c r="B21" s="68" t="s">
        <v>130</v>
      </c>
      <c r="C21" s="68"/>
      <c r="D21" s="68"/>
    </row>
    <row r="22" spans="1:4" ht="33.950000000000003" customHeight="1">
      <c r="A22" s="68" t="s">
        <v>131</v>
      </c>
      <c r="B22" s="68" t="s">
        <v>132</v>
      </c>
      <c r="C22" s="68"/>
      <c r="D22" s="68"/>
    </row>
    <row r="24" spans="1:4" ht="26.1" customHeight="1">
      <c r="A24" s="96" t="s">
        <v>133</v>
      </c>
      <c r="B24" s="96"/>
      <c r="C24" s="96"/>
      <c r="D24" s="96"/>
    </row>
    <row r="25" spans="1:4">
      <c r="A25" t="s">
        <v>134</v>
      </c>
      <c r="B25" s="66">
        <v>5</v>
      </c>
      <c r="C25" t="s">
        <v>135</v>
      </c>
      <c r="D25" t="s">
        <v>136</v>
      </c>
    </row>
    <row r="26" spans="1:4">
      <c r="A26" t="s">
        <v>137</v>
      </c>
      <c r="B26" s="66">
        <v>2</v>
      </c>
      <c r="C26" t="s">
        <v>138</v>
      </c>
      <c r="D26" t="s">
        <v>139</v>
      </c>
    </row>
    <row r="27" spans="1:4">
      <c r="A27" t="s">
        <v>140</v>
      </c>
      <c r="B27" s="67">
        <v>5</v>
      </c>
      <c r="C27" t="s">
        <v>141</v>
      </c>
      <c r="D27" t="s">
        <v>142</v>
      </c>
    </row>
    <row r="28" spans="1:4" ht="36" customHeight="1">
      <c r="A28" s="97" t="s">
        <v>143</v>
      </c>
      <c r="B28" s="97"/>
      <c r="C28" s="97"/>
      <c r="D28" s="97"/>
    </row>
    <row r="30" spans="1:4">
      <c r="A30" s="69" t="s">
        <v>144</v>
      </c>
      <c r="B30" s="69"/>
      <c r="C30" s="69"/>
      <c r="D30" s="70"/>
    </row>
    <row r="31" spans="1:4">
      <c r="A31" t="s">
        <v>145</v>
      </c>
      <c r="B31" t="s">
        <v>146</v>
      </c>
      <c r="C31" s="68" t="s">
        <v>147</v>
      </c>
      <c r="D31" s="68" t="s">
        <v>148</v>
      </c>
    </row>
    <row r="32" spans="1:4">
      <c r="A32" t="s">
        <v>149</v>
      </c>
      <c r="B32" t="s">
        <v>150</v>
      </c>
      <c r="C32" s="68" t="s">
        <v>151</v>
      </c>
      <c r="D32" s="68" t="s">
        <v>152</v>
      </c>
    </row>
    <row r="33" spans="1:4">
      <c r="A33" t="s">
        <v>153</v>
      </c>
      <c r="B33" s="71">
        <v>20</v>
      </c>
      <c r="C33" s="68" t="s">
        <v>154</v>
      </c>
      <c r="D33" s="68" t="s">
        <v>155</v>
      </c>
    </row>
    <row r="34" spans="1:4">
      <c r="A34" t="s">
        <v>156</v>
      </c>
      <c r="B34" t="s">
        <v>157</v>
      </c>
      <c r="C34" s="68" t="s">
        <v>158</v>
      </c>
      <c r="D34" s="68" t="s">
        <v>159</v>
      </c>
    </row>
    <row r="35" spans="1:4">
      <c r="A35" t="s">
        <v>160</v>
      </c>
      <c r="B35" t="s">
        <v>161</v>
      </c>
      <c r="C35" s="68" t="s">
        <v>162</v>
      </c>
      <c r="D35" s="68" t="s">
        <v>163</v>
      </c>
    </row>
    <row r="36" spans="1:4">
      <c r="A36" t="s">
        <v>164</v>
      </c>
      <c r="B36" t="s">
        <v>165</v>
      </c>
      <c r="C36" s="68"/>
      <c r="D36" s="68"/>
    </row>
    <row r="37" spans="1:4" ht="24.95" customHeight="1">
      <c r="A37" s="72" t="s">
        <v>166</v>
      </c>
      <c r="B37" s="72"/>
      <c r="C37" s="72"/>
      <c r="D37" s="72"/>
    </row>
    <row r="38" spans="1:4" ht="54.95" customHeight="1">
      <c r="A38" s="73" t="s">
        <v>167</v>
      </c>
      <c r="B38" s="74">
        <v>8</v>
      </c>
      <c r="C38" s="68" t="s">
        <v>168</v>
      </c>
      <c r="D38" s="68" t="s">
        <v>169</v>
      </c>
    </row>
    <row r="39" spans="1:4" ht="42.95" customHeight="1">
      <c r="A39" s="73" t="s">
        <v>170</v>
      </c>
      <c r="B39" s="68" t="s">
        <v>171</v>
      </c>
      <c r="C39" s="68" t="s">
        <v>172</v>
      </c>
      <c r="D39" s="68" t="s">
        <v>173</v>
      </c>
    </row>
    <row r="40" spans="1:4" ht="42.95" customHeight="1">
      <c r="A40" s="73" t="s">
        <v>174</v>
      </c>
      <c r="B40" s="68" t="s">
        <v>58</v>
      </c>
      <c r="C40" s="68" t="s">
        <v>175</v>
      </c>
      <c r="D40" s="68" t="s">
        <v>176</v>
      </c>
    </row>
    <row r="41" spans="1:4" ht="62.1" customHeight="1">
      <c r="A41" s="73" t="s">
        <v>177</v>
      </c>
      <c r="B41" s="68" t="s">
        <v>178</v>
      </c>
      <c r="C41" s="68" t="s">
        <v>179</v>
      </c>
      <c r="D41" s="68" t="s">
        <v>180</v>
      </c>
    </row>
    <row r="42" spans="1:4" ht="54.95" customHeight="1">
      <c r="A42" s="73" t="s">
        <v>181</v>
      </c>
      <c r="B42" s="68" t="s">
        <v>182</v>
      </c>
      <c r="C42" s="68" t="s">
        <v>183</v>
      </c>
      <c r="D42" s="68" t="s">
        <v>184</v>
      </c>
    </row>
    <row r="43" spans="1:4">
      <c r="A43" t="s">
        <v>185</v>
      </c>
      <c r="B43" t="s">
        <v>130</v>
      </c>
      <c r="C43" t="s">
        <v>186</v>
      </c>
      <c r="D43" t="s">
        <v>187</v>
      </c>
    </row>
  </sheetData>
  <mergeCells count="4">
    <mergeCell ref="A1:D1"/>
    <mergeCell ref="A12:D12"/>
    <mergeCell ref="A24:D24"/>
    <mergeCell ref="A28:D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2026-10-30T23:33:19Z</dcterms:created>
  <dcterms:modified xsi:type="dcterms:W3CDTF">2026-10-30T23:34:46Z</dcterms:modified>
  <cp:category/>
  <cp:contentStatus/>
</cp:coreProperties>
</file>