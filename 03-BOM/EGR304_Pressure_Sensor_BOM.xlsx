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lask\Downloads\"/>
    </mc:Choice>
  </mc:AlternateContent>
  <xr:revisionPtr revIDLastSave="0" documentId="8_{57597305-E723-413B-8CF6-383336F65E5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28" i="1" l="1"/>
</calcChain>
</file>

<file path=xl/sharedStrings.xml><?xml version="1.0" encoding="utf-8"?>
<sst xmlns="http://schemas.openxmlformats.org/spreadsheetml/2006/main" count="182" uniqueCount="118">
  <si>
    <t>EGR 304  |  PRESSURE-SENSING PCB  •  BILL OF MATERIALS</t>
  </si>
  <si>
    <t>Part Name / Description</t>
  </si>
  <si>
    <t>Unit Qty</t>
  </si>
  <si>
    <t>Per Unit Cost ($)</t>
  </si>
  <si>
    <t>Total Cost ($)</t>
  </si>
  <si>
    <t>Manufacturer</t>
  </si>
  <si>
    <t>Manufacturer Part #</t>
  </si>
  <si>
    <t>Supplier</t>
  </si>
  <si>
    <t>Vendor Part Number</t>
  </si>
  <si>
    <t>Datasheet / Product Link</t>
  </si>
  <si>
    <t>Alternate Supplier</t>
  </si>
  <si>
    <t>Alt. Supplier Part #</t>
  </si>
  <si>
    <t># Ordered</t>
  </si>
  <si>
    <t>Date Ordered</t>
  </si>
  <si>
    <t># Received</t>
  </si>
  <si>
    <t>Schematic Reference Designators</t>
  </si>
  <si>
    <t>Review Status</t>
  </si>
  <si>
    <t>Notes / Verification</t>
  </si>
  <si>
    <t>PIC18F57Q43 Curiosity Nano development board</t>
  </si>
  <si>
    <t>Microchip</t>
  </si>
  <si>
    <t>DM164150</t>
  </si>
  <si>
    <t>https://www.microchip.com/en-us/development-tool/DM164150</t>
  </si>
  <si>
    <t>U3</t>
  </si>
  <si>
    <t>Board/module rather than a bare PIC; mounting/interconnect to PCB requires confirmation.</t>
  </si>
  <si>
    <t>Analog absolute pressure sensor, 5 V, 8-pin</t>
  </si>
  <si>
    <t>CFSensor</t>
  </si>
  <si>
    <t>XGZP6878A15115KPA</t>
  </si>
  <si>
    <t>https://cfsensor.com/wp-content/uploads/2022/11/XGZP6878A-Pressure-Sensor-V2.6.pdf</t>
  </si>
  <si>
    <t>U2</t>
  </si>
  <si>
    <t>Part in power budget; some later project text uses XGZP6887A. Confirm actual ordered sensor and footprint.</t>
  </si>
  <si>
    <t>Quad operational amplifier, DIP-14 selection</t>
  </si>
  <si>
    <t>MCP6004-I/P</t>
  </si>
  <si>
    <t>https://www.microchip.com/en-us/product/mcp6004</t>
  </si>
  <si>
    <t>U1A–U1E (1 IC)</t>
  </si>
  <si>
    <t>One physical MCP6004 has four amplifiers plus power unit; count as 1, not 5.</t>
  </si>
  <si>
    <t>5 V linear regulator</t>
  </si>
  <si>
    <t>STMicroelectronics</t>
  </si>
  <si>
    <t>L7805ABV-DG</t>
  </si>
  <si>
    <t>https://www.st.com/en/power-management/l78.html</t>
  </si>
  <si>
    <t>Selected part from power budget; check exact regulator reference and pinout in updated KiCad schematic.</t>
  </si>
  <si>
    <t>DC barrel jack, PCB-mounted, 9 V input</t>
  </si>
  <si>
    <t>TBD</t>
  </si>
  <si>
    <t>TBD — jack footprint</t>
  </si>
  <si>
    <t>J1</t>
  </si>
  <si>
    <t>Confirm 5.5 × 2.1 mm, center-positive jack to match chosen adapter.</t>
  </si>
  <si>
    <t>TBD — fuse/package</t>
  </si>
  <si>
    <t>F1</t>
  </si>
  <si>
    <t>Latest screenshot reads 750 mA; earlier project used 250 mA. Verify final required current, protection choice, and fuse type.</t>
  </si>
  <si>
    <t>8-position ribbon cable connector</t>
  </si>
  <si>
    <t>TBD — 1×08 connector</t>
  </si>
  <si>
    <t>J2</t>
  </si>
  <si>
    <t>Choose correct orientation, pitch and mating ribbon-cable connector.</t>
  </si>
  <si>
    <t>5-pin analog debugging/test header</t>
  </si>
  <si>
    <t>TBD — 1×05 header</t>
  </si>
  <si>
    <t>J3</t>
  </si>
  <si>
    <t>Latest schematic discussion included 5-pin J3, with TEST_IN and Op_Amp_Out.</t>
  </si>
  <si>
    <t>3-pin removable jumper header</t>
  </si>
  <si>
    <t>TBD — 1×03 2.54 mm header</t>
  </si>
  <si>
    <t>JP1</t>
  </si>
  <si>
    <t>Add one removable shorting shunt (next line) for actual use.</t>
  </si>
  <si>
    <t>2.54 mm shorting shunt for JP1</t>
  </si>
  <si>
    <t>TBD — jumper cap</t>
  </si>
  <si>
    <t>JP1 accessory</t>
  </si>
  <si>
    <t>Required to join JP1 pins 1–2 or pins 2–3; not a separate KiCad symbol.</t>
  </si>
  <si>
    <t>Ceramic capacitor, 0.1 µF, 16 V recommended</t>
  </si>
  <si>
    <t>C1, C3–C7</t>
  </si>
  <si>
    <t>Six 0.1 µF caps appear across bypass/filter circuits; confirm C4/C7 printed ratings and footprint.</t>
  </si>
  <si>
    <t>Capacitor, 0.22 µF, 25 V</t>
  </si>
  <si>
    <t>C2</t>
  </si>
  <si>
    <t>Input-side capacitor near 9 V-to-5 V regulator.</t>
  </si>
  <si>
    <t>Resistor, 2.9 kΩ, ≥0.25 W</t>
  </si>
  <si>
    <t>R3</t>
  </si>
  <si>
    <t>May be easier to source 2.87 kΩ or 2.94 kΩ; retain specified resistance until circuit reviewed.</t>
  </si>
  <si>
    <t>Resistor, 10 kΩ, ≥0.25 W</t>
  </si>
  <si>
    <t>R4, R5, R9</t>
  </si>
  <si>
    <t>Feedback, RC filter, and button resistor.</t>
  </si>
  <si>
    <t>Resistor, 100 Ω, ≥0.5 W</t>
  </si>
  <si>
    <t>R8</t>
  </si>
  <si>
    <t>Across +5 V and GND in last full schematic; dissipates 0.25 W and draws 50 mA. Confirm whether needed.</t>
  </si>
  <si>
    <t>Resistor, 330 Ω, ≥0.25 W</t>
  </si>
  <si>
    <t>R10</t>
  </si>
  <si>
    <t>LED current limiting resistor.</t>
  </si>
  <si>
    <t>Indicator LED</t>
  </si>
  <si>
    <t>Earlier circuit shows red debug LED; check ref, forward voltage, and footprint.</t>
  </si>
  <si>
    <t>Momentary pushbutton, SPST</t>
  </si>
  <si>
    <t>SW1</t>
  </si>
  <si>
    <t>Debugging switch; verify actual pull-up wiring before manufacture.</t>
  </si>
  <si>
    <t>PCB test point / probe pad</t>
  </si>
  <si>
    <t>TP1–TP4</t>
  </si>
  <si>
    <t>At least TP1 (5 V), TP2 (sensor), TP3 (filtered), TP4 (op-amp). Count TP5 if added later.</t>
  </si>
  <si>
    <t>9 V DC wall adapter, external (not PCB-mounted)</t>
  </si>
  <si>
    <t>Pololu</t>
  </si>
  <si>
    <t>External supply</t>
  </si>
  <si>
    <t>Off-board accessory. Listed separately for completeness; do not place on PCB.</t>
  </si>
  <si>
    <t>TOTAL OF QUOTED LINE ITEMS ONLY</t>
  </si>
  <si>
    <t>Partial total until every unit price is entered; shipping/tax not included.</t>
  </si>
  <si>
    <t>PRLTA</t>
  </si>
  <si>
    <t>N/A</t>
  </si>
  <si>
    <t>digikey</t>
  </si>
  <si>
    <t>5611-XGZP6878A15115KPA-ND</t>
  </si>
  <si>
    <t xml:space="preserve">Input fuse, 750 mA </t>
  </si>
  <si>
    <t>S9002-ND</t>
  </si>
  <si>
    <t>F7971-ND</t>
  </si>
  <si>
    <t>https://www.littelfuse.com/assetdocs/fuse-2205-datasheet?assetguid=C2540088-82EA-4B74-A48F-098A98B3F35E</t>
  </si>
  <si>
    <t>https://drawings-pdf.s3.amazonaws.com/11134.pdf</t>
  </si>
  <si>
    <t>1528-4939-ND</t>
  </si>
  <si>
    <t>https://www.digikey.com/en/models/14552336</t>
  </si>
  <si>
    <t>36-5000-ND</t>
  </si>
  <si>
    <t>LM7805_CB1</t>
  </si>
  <si>
    <t>D1 (Red_LED)</t>
  </si>
  <si>
    <t>PRLTA PARTS UNKNOWN — Manufacturer/vendor selections remain unverified where marked TBD.</t>
  </si>
  <si>
    <t xml:space="preserve">Team 202  </t>
  </si>
  <si>
    <t>TBD — capacitor</t>
  </si>
  <si>
    <t>TBD — power supply</t>
  </si>
  <si>
    <t>TBD — resistor</t>
  </si>
  <si>
    <t>TBD — LED</t>
  </si>
  <si>
    <t xml:space="preserve">TBD — switch </t>
  </si>
  <si>
    <t>TBD — test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</si>
</sst>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6">
    <font>
      <sz val="11"/>
      <name val="Carlito"/>
    </font>
    <font>
      <b/>
      <sz val="17"/>
      <color rgb="FFFFFFFF"/>
      <name val="Carlito"/>
    </font>
    <font>
      <sz val="11"/>
      <color rgb="FF172B44"/>
      <name val="Carlito"/>
    </font>
    <font>
      <b/>
      <sz val="10"/>
      <color rgb="FF7D4A12"/>
      <name val="Carlito"/>
    </font>
    <font>
      <b/>
      <sz val="10"/>
      <color rgb="FF172B44"/>
      <name val="Carlito"/>
    </font>
    <font>
      <b/>
      <sz val="11"/>
      <color rgb="FF174A3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455"/>
      </patternFill>
    </fill>
    <fill>
      <patternFill patternType="solid">
        <fgColor rgb="FFE9F0F8"/>
      </patternFill>
    </fill>
    <fill>
      <patternFill patternType="solid">
        <fgColor rgb="FFFFF3CC"/>
      </patternFill>
    </fill>
    <fill>
      <patternFill patternType="solid">
        <fgColor rgb="FFC8DDEF"/>
      </patternFill>
    </fill>
    <fill>
      <patternFill patternType="solid">
        <fgColor rgb="FFF4F8FC"/>
      </patternFill>
    </fill>
    <fill>
      <patternFill patternType="solid">
        <fgColor rgb="FFFFF3D9"/>
      </patternFill>
    </fill>
    <fill>
      <patternFill patternType="solid">
        <fgColor rgb="FFD9EA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164" fontId="0" fillId="7" borderId="0" xfId="0" applyNumberForma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6" borderId="0" xfId="0" applyNumberFormat="1" applyFill="1" applyAlignment="1">
      <alignment vertical="center" wrapText="1"/>
    </xf>
    <xf numFmtId="164" fontId="0" fillId="0" borderId="0" xfId="0" applyNumberFormat="1"/>
    <xf numFmtId="165" fontId="0" fillId="7" borderId="0" xfId="0" applyNumberForma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6" borderId="0" xfId="0" applyNumberFormat="1" applyFill="1" applyAlignment="1">
      <alignment vertical="center" wrapText="1"/>
    </xf>
    <xf numFmtId="1" fontId="0" fillId="7" borderId="0" xfId="0" applyNumberFormat="1" applyFill="1" applyAlignment="1">
      <alignment vertical="center" wrapText="1"/>
    </xf>
    <xf numFmtId="164" fontId="5" fillId="8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164" fontId="5" fillId="8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topLeftCell="E1" zoomScale="77" zoomScaleNormal="38" workbookViewId="0">
      <pane ySplit="6" topLeftCell="A19" activePane="bottomLeft" state="frozen"/>
      <selection pane="bottomLeft" activeCell="F26" sqref="F26"/>
    </sheetView>
  </sheetViews>
  <sheetFormatPr defaultRowHeight="13.8"/>
  <cols>
    <col min="1" max="1" width="40" customWidth="1"/>
    <col min="2" max="2" width="10" customWidth="1"/>
    <col min="3" max="3" width="15" customWidth="1"/>
    <col min="4" max="4" width="14" customWidth="1"/>
    <col min="5" max="5" width="22" customWidth="1"/>
    <col min="6" max="6" width="28" customWidth="1"/>
    <col min="7" max="7" width="17" customWidth="1"/>
    <col min="8" max="8" width="22" customWidth="1"/>
    <col min="9" max="9" width="51" customWidth="1"/>
    <col min="10" max="10" width="18" customWidth="1"/>
    <col min="11" max="11" width="22" customWidth="1"/>
    <col min="12" max="12" width="12" customWidth="1"/>
    <col min="13" max="13" width="16" customWidth="1"/>
    <col min="14" max="14" width="12" customWidth="1"/>
    <col min="15" max="15" width="25" customWidth="1"/>
    <col min="16" max="16" width="21" customWidth="1"/>
    <col min="17" max="17" width="65" customWidth="1"/>
  </cols>
  <sheetData>
    <row r="1" spans="1:17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4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8" customHeight="1">
      <c r="A3" s="15" t="s">
        <v>111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26.05" customHeight="1">
      <c r="A4" s="16" t="s">
        <v>110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6" spans="1:17" ht="46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</row>
    <row r="7" spans="1:17" ht="52" customHeight="1">
      <c r="A7" s="2" t="s">
        <v>18</v>
      </c>
      <c r="B7" s="10">
        <v>1</v>
      </c>
      <c r="C7" s="5">
        <v>0</v>
      </c>
      <c r="D7" s="6">
        <f t="shared" ref="D7:D26" si="0">IF(ISNUMBER(C7),B7*C7,"")</f>
        <v>0</v>
      </c>
      <c r="E7" s="2" t="s">
        <v>19</v>
      </c>
      <c r="F7" s="2" t="s">
        <v>20</v>
      </c>
      <c r="G7" s="4" t="s">
        <v>96</v>
      </c>
      <c r="H7" s="4" t="s">
        <v>97</v>
      </c>
      <c r="I7" s="2" t="s">
        <v>21</v>
      </c>
      <c r="J7" s="4"/>
      <c r="K7" s="4"/>
      <c r="L7" s="12">
        <v>0</v>
      </c>
      <c r="M7" s="9"/>
      <c r="N7" s="12">
        <v>0</v>
      </c>
      <c r="O7" s="2" t="s">
        <v>22</v>
      </c>
      <c r="P7" s="2"/>
      <c r="Q7" s="2" t="s">
        <v>23</v>
      </c>
    </row>
    <row r="8" spans="1:17" ht="52" customHeight="1">
      <c r="A8" s="3" t="s">
        <v>24</v>
      </c>
      <c r="B8" s="11">
        <v>5</v>
      </c>
      <c r="C8" s="5">
        <v>7.2</v>
      </c>
      <c r="D8" s="7">
        <f t="shared" si="0"/>
        <v>36</v>
      </c>
      <c r="E8" s="3" t="s">
        <v>25</v>
      </c>
      <c r="F8" s="3" t="s">
        <v>26</v>
      </c>
      <c r="G8" s="4" t="s">
        <v>98</v>
      </c>
      <c r="H8" s="4" t="s">
        <v>99</v>
      </c>
      <c r="I8" s="3" t="s">
        <v>27</v>
      </c>
      <c r="J8" s="4"/>
      <c r="K8" s="4"/>
      <c r="L8" s="12">
        <v>0</v>
      </c>
      <c r="M8" s="9"/>
      <c r="N8" s="12">
        <v>0</v>
      </c>
      <c r="O8" s="3" t="s">
        <v>28</v>
      </c>
      <c r="P8" s="3"/>
      <c r="Q8" s="3" t="s">
        <v>29</v>
      </c>
    </row>
    <row r="9" spans="1:17" ht="52" customHeight="1">
      <c r="A9" s="2" t="s">
        <v>30</v>
      </c>
      <c r="B9" s="10">
        <v>1</v>
      </c>
      <c r="C9" s="5">
        <v>0</v>
      </c>
      <c r="D9" s="6">
        <f t="shared" si="0"/>
        <v>0</v>
      </c>
      <c r="E9" s="2" t="s">
        <v>19</v>
      </c>
      <c r="F9" s="2" t="s">
        <v>31</v>
      </c>
      <c r="G9" s="4" t="s">
        <v>96</v>
      </c>
      <c r="H9" s="4" t="s">
        <v>97</v>
      </c>
      <c r="I9" s="2" t="s">
        <v>32</v>
      </c>
      <c r="J9" s="4"/>
      <c r="K9" s="4"/>
      <c r="L9" s="12">
        <v>0</v>
      </c>
      <c r="M9" s="9"/>
      <c r="N9" s="12">
        <v>0</v>
      </c>
      <c r="O9" s="2" t="s">
        <v>33</v>
      </c>
      <c r="P9" s="2"/>
      <c r="Q9" s="2" t="s">
        <v>34</v>
      </c>
    </row>
    <row r="10" spans="1:17" ht="52" customHeight="1">
      <c r="A10" s="3" t="s">
        <v>35</v>
      </c>
      <c r="B10" s="11">
        <v>1</v>
      </c>
      <c r="C10" s="5">
        <v>0</v>
      </c>
      <c r="D10" s="7">
        <f t="shared" si="0"/>
        <v>0</v>
      </c>
      <c r="E10" s="3" t="s">
        <v>36</v>
      </c>
      <c r="F10" s="3" t="s">
        <v>37</v>
      </c>
      <c r="G10" s="4" t="s">
        <v>96</v>
      </c>
      <c r="H10" s="4" t="s">
        <v>97</v>
      </c>
      <c r="I10" s="3" t="s">
        <v>38</v>
      </c>
      <c r="J10" s="4"/>
      <c r="K10" s="4"/>
      <c r="L10" s="12">
        <v>0</v>
      </c>
      <c r="M10" s="9"/>
      <c r="N10" s="12">
        <v>0</v>
      </c>
      <c r="O10" s="3" t="s">
        <v>108</v>
      </c>
      <c r="P10" s="3"/>
      <c r="Q10" s="3" t="s">
        <v>39</v>
      </c>
    </row>
    <row r="11" spans="1:17" ht="52" customHeight="1">
      <c r="A11" s="2" t="s">
        <v>40</v>
      </c>
      <c r="B11" s="10">
        <v>1</v>
      </c>
      <c r="C11" s="5">
        <v>0</v>
      </c>
      <c r="D11" s="6">
        <f t="shared" si="0"/>
        <v>0</v>
      </c>
      <c r="E11" s="2" t="s">
        <v>41</v>
      </c>
      <c r="F11" s="2" t="s">
        <v>42</v>
      </c>
      <c r="G11" s="4" t="s">
        <v>96</v>
      </c>
      <c r="H11" s="4" t="s">
        <v>97</v>
      </c>
      <c r="I11" s="2" t="s">
        <v>97</v>
      </c>
      <c r="J11" s="4"/>
      <c r="K11" s="4"/>
      <c r="L11" s="12">
        <v>0</v>
      </c>
      <c r="M11" s="9"/>
      <c r="N11" s="12">
        <v>0</v>
      </c>
      <c r="O11" s="2" t="s">
        <v>43</v>
      </c>
      <c r="P11" s="2"/>
      <c r="Q11" s="2" t="s">
        <v>44</v>
      </c>
    </row>
    <row r="12" spans="1:17" ht="52" customHeight="1">
      <c r="A12" s="3" t="s">
        <v>100</v>
      </c>
      <c r="B12" s="11">
        <v>2</v>
      </c>
      <c r="C12" s="5">
        <v>1.1499999999999999</v>
      </c>
      <c r="D12" s="7">
        <f t="shared" si="0"/>
        <v>2.2999999999999998</v>
      </c>
      <c r="E12" s="3" t="s">
        <v>41</v>
      </c>
      <c r="F12" s="3" t="s">
        <v>45</v>
      </c>
      <c r="G12" s="4" t="s">
        <v>98</v>
      </c>
      <c r="H12" s="4" t="s">
        <v>102</v>
      </c>
      <c r="I12" s="3" t="s">
        <v>103</v>
      </c>
      <c r="J12" s="4"/>
      <c r="K12" s="4"/>
      <c r="L12" s="12">
        <v>0</v>
      </c>
      <c r="M12" s="9"/>
      <c r="N12" s="12">
        <v>0</v>
      </c>
      <c r="O12" s="3" t="s">
        <v>46</v>
      </c>
      <c r="P12" s="3"/>
      <c r="Q12" s="3" t="s">
        <v>47</v>
      </c>
    </row>
    <row r="13" spans="1:17" ht="52" customHeight="1">
      <c r="A13" s="2" t="s">
        <v>48</v>
      </c>
      <c r="B13" s="10">
        <v>2</v>
      </c>
      <c r="C13" s="5">
        <v>0.95</v>
      </c>
      <c r="D13" s="6">
        <f t="shared" si="0"/>
        <v>1.9</v>
      </c>
      <c r="E13" s="2" t="s">
        <v>41</v>
      </c>
      <c r="F13" s="2" t="s">
        <v>49</v>
      </c>
      <c r="G13" s="4" t="s">
        <v>98</v>
      </c>
      <c r="H13" s="4" t="s">
        <v>105</v>
      </c>
      <c r="I13" s="2" t="s">
        <v>106</v>
      </c>
      <c r="J13" s="4"/>
      <c r="K13" s="4"/>
      <c r="L13" s="12">
        <v>0</v>
      </c>
      <c r="M13" s="9"/>
      <c r="N13" s="12">
        <v>0</v>
      </c>
      <c r="O13" s="2" t="s">
        <v>50</v>
      </c>
      <c r="P13" s="2"/>
      <c r="Q13" s="2" t="s">
        <v>51</v>
      </c>
    </row>
    <row r="14" spans="1:17" ht="52" customHeight="1">
      <c r="A14" s="3" t="s">
        <v>52</v>
      </c>
      <c r="B14" s="11">
        <v>1</v>
      </c>
      <c r="C14" s="5">
        <v>0</v>
      </c>
      <c r="D14" s="7">
        <f t="shared" si="0"/>
        <v>0</v>
      </c>
      <c r="E14" s="3" t="s">
        <v>41</v>
      </c>
      <c r="F14" s="3" t="s">
        <v>53</v>
      </c>
      <c r="G14" s="4" t="s">
        <v>96</v>
      </c>
      <c r="H14" s="4" t="s">
        <v>97</v>
      </c>
      <c r="I14" s="3" t="s">
        <v>97</v>
      </c>
      <c r="J14" s="4"/>
      <c r="K14" s="4"/>
      <c r="L14" s="12">
        <v>0</v>
      </c>
      <c r="M14" s="9"/>
      <c r="N14" s="12">
        <v>0</v>
      </c>
      <c r="O14" s="3" t="s">
        <v>54</v>
      </c>
      <c r="P14" s="3"/>
      <c r="Q14" s="3" t="s">
        <v>55</v>
      </c>
    </row>
    <row r="15" spans="1:17" ht="52" customHeight="1">
      <c r="A15" s="2" t="s">
        <v>56</v>
      </c>
      <c r="B15" s="10">
        <v>1</v>
      </c>
      <c r="C15" s="5">
        <v>0</v>
      </c>
      <c r="D15" s="6">
        <f t="shared" si="0"/>
        <v>0</v>
      </c>
      <c r="E15" s="2" t="s">
        <v>41</v>
      </c>
      <c r="F15" s="2" t="s">
        <v>57</v>
      </c>
      <c r="G15" s="4" t="s">
        <v>96</v>
      </c>
      <c r="H15" s="4" t="s">
        <v>97</v>
      </c>
      <c r="I15" s="2" t="s">
        <v>97</v>
      </c>
      <c r="J15" s="4"/>
      <c r="K15" s="4"/>
      <c r="L15" s="12">
        <v>0</v>
      </c>
      <c r="M15" s="9"/>
      <c r="N15" s="12">
        <v>0</v>
      </c>
      <c r="O15" s="2" t="s">
        <v>58</v>
      </c>
      <c r="P15" s="2"/>
      <c r="Q15" s="2" t="s">
        <v>59</v>
      </c>
    </row>
    <row r="16" spans="1:17" ht="52" customHeight="1">
      <c r="A16" s="3" t="s">
        <v>60</v>
      </c>
      <c r="B16" s="11">
        <v>2</v>
      </c>
      <c r="C16" s="5">
        <v>0.14000000000000001</v>
      </c>
      <c r="D16" s="7">
        <f t="shared" si="0"/>
        <v>0.28000000000000003</v>
      </c>
      <c r="E16" s="3" t="s">
        <v>41</v>
      </c>
      <c r="F16" s="3" t="s">
        <v>61</v>
      </c>
      <c r="G16" s="4" t="s">
        <v>98</v>
      </c>
      <c r="H16" s="4" t="s">
        <v>101</v>
      </c>
      <c r="I16" s="3" t="s">
        <v>104</v>
      </c>
      <c r="J16" s="4"/>
      <c r="K16" s="4"/>
      <c r="L16" s="12">
        <v>0</v>
      </c>
      <c r="M16" s="9"/>
      <c r="N16" s="12">
        <v>0</v>
      </c>
      <c r="O16" s="3" t="s">
        <v>62</v>
      </c>
      <c r="P16" s="3"/>
      <c r="Q16" s="3" t="s">
        <v>63</v>
      </c>
    </row>
    <row r="17" spans="1:17" ht="52" customHeight="1">
      <c r="A17" s="2" t="s">
        <v>64</v>
      </c>
      <c r="B17" s="10">
        <v>12</v>
      </c>
      <c r="C17" s="5">
        <v>0</v>
      </c>
      <c r="D17" s="6">
        <f t="shared" si="0"/>
        <v>0</v>
      </c>
      <c r="E17" s="2" t="s">
        <v>41</v>
      </c>
      <c r="F17" s="2" t="s">
        <v>112</v>
      </c>
      <c r="G17" s="4" t="s">
        <v>96</v>
      </c>
      <c r="H17" s="4" t="s">
        <v>97</v>
      </c>
      <c r="I17" s="2" t="s">
        <v>97</v>
      </c>
      <c r="J17" s="4"/>
      <c r="K17" s="4"/>
      <c r="L17" s="12">
        <v>0</v>
      </c>
      <c r="M17" s="9"/>
      <c r="N17" s="12">
        <v>0</v>
      </c>
      <c r="O17" s="2" t="s">
        <v>65</v>
      </c>
      <c r="P17" s="2"/>
      <c r="Q17" s="2" t="s">
        <v>66</v>
      </c>
    </row>
    <row r="18" spans="1:17" ht="52" customHeight="1">
      <c r="A18" s="3" t="s">
        <v>67</v>
      </c>
      <c r="B18" s="11">
        <v>2</v>
      </c>
      <c r="C18" s="5">
        <v>0</v>
      </c>
      <c r="D18" s="7">
        <f t="shared" si="0"/>
        <v>0</v>
      </c>
      <c r="E18" s="3" t="s">
        <v>41</v>
      </c>
      <c r="F18" s="3" t="s">
        <v>112</v>
      </c>
      <c r="G18" s="4" t="s">
        <v>96</v>
      </c>
      <c r="H18" s="4" t="s">
        <v>97</v>
      </c>
      <c r="I18" s="3" t="s">
        <v>97</v>
      </c>
      <c r="J18" s="4"/>
      <c r="K18" s="4"/>
      <c r="L18" s="12">
        <v>0</v>
      </c>
      <c r="M18" s="9"/>
      <c r="N18" s="12">
        <v>0</v>
      </c>
      <c r="O18" s="3" t="s">
        <v>68</v>
      </c>
      <c r="P18" s="3"/>
      <c r="Q18" s="3" t="s">
        <v>69</v>
      </c>
    </row>
    <row r="19" spans="1:17" ht="52" customHeight="1">
      <c r="A19" s="2" t="s">
        <v>70</v>
      </c>
      <c r="B19" s="10">
        <v>2</v>
      </c>
      <c r="C19" s="5">
        <v>0</v>
      </c>
      <c r="D19" s="6">
        <f t="shared" si="0"/>
        <v>0</v>
      </c>
      <c r="E19" s="2" t="s">
        <v>41</v>
      </c>
      <c r="F19" s="2" t="s">
        <v>114</v>
      </c>
      <c r="G19" s="4" t="s">
        <v>96</v>
      </c>
      <c r="H19" s="4" t="s">
        <v>97</v>
      </c>
      <c r="I19" s="2" t="s">
        <v>97</v>
      </c>
      <c r="J19" s="4"/>
      <c r="K19" s="4"/>
      <c r="L19" s="12">
        <v>0</v>
      </c>
      <c r="M19" s="9"/>
      <c r="N19" s="12">
        <v>0</v>
      </c>
      <c r="O19" s="2" t="s">
        <v>71</v>
      </c>
      <c r="P19" s="2"/>
      <c r="Q19" s="2" t="s">
        <v>72</v>
      </c>
    </row>
    <row r="20" spans="1:17" ht="52" customHeight="1">
      <c r="A20" s="3" t="s">
        <v>73</v>
      </c>
      <c r="B20" s="11">
        <v>6</v>
      </c>
      <c r="C20" s="5">
        <v>0</v>
      </c>
      <c r="D20" s="7">
        <f t="shared" si="0"/>
        <v>0</v>
      </c>
      <c r="E20" s="3" t="s">
        <v>41</v>
      </c>
      <c r="F20" s="3" t="s">
        <v>114</v>
      </c>
      <c r="G20" s="4" t="s">
        <v>96</v>
      </c>
      <c r="H20" s="4" t="s">
        <v>97</v>
      </c>
      <c r="I20" s="3" t="s">
        <v>97</v>
      </c>
      <c r="J20" s="4"/>
      <c r="K20" s="4"/>
      <c r="L20" s="12">
        <v>0</v>
      </c>
      <c r="M20" s="9"/>
      <c r="N20" s="12">
        <v>0</v>
      </c>
      <c r="O20" s="3" t="s">
        <v>74</v>
      </c>
      <c r="P20" s="3"/>
      <c r="Q20" s="3" t="s">
        <v>75</v>
      </c>
    </row>
    <row r="21" spans="1:17" ht="52" customHeight="1">
      <c r="A21" s="2" t="s">
        <v>76</v>
      </c>
      <c r="B21" s="10">
        <v>2</v>
      </c>
      <c r="C21" s="5">
        <v>0</v>
      </c>
      <c r="D21" s="6">
        <f t="shared" si="0"/>
        <v>0</v>
      </c>
      <c r="E21" s="2" t="s">
        <v>41</v>
      </c>
      <c r="F21" s="2" t="s">
        <v>114</v>
      </c>
      <c r="G21" s="4" t="s">
        <v>96</v>
      </c>
      <c r="H21" s="4" t="s">
        <v>97</v>
      </c>
      <c r="I21" s="2" t="s">
        <v>97</v>
      </c>
      <c r="J21" s="4"/>
      <c r="K21" s="4"/>
      <c r="L21" s="12">
        <v>0</v>
      </c>
      <c r="M21" s="9"/>
      <c r="N21" s="12">
        <v>0</v>
      </c>
      <c r="O21" s="2" t="s">
        <v>77</v>
      </c>
      <c r="P21" s="2"/>
      <c r="Q21" s="2" t="s">
        <v>78</v>
      </c>
    </row>
    <row r="22" spans="1:17" ht="52" customHeight="1">
      <c r="A22" s="3" t="s">
        <v>79</v>
      </c>
      <c r="B22" s="11">
        <v>2</v>
      </c>
      <c r="C22" s="5">
        <v>0</v>
      </c>
      <c r="D22" s="7">
        <f t="shared" si="0"/>
        <v>0</v>
      </c>
      <c r="E22" s="3" t="s">
        <v>41</v>
      </c>
      <c r="F22" s="3" t="s">
        <v>114</v>
      </c>
      <c r="G22" s="4" t="s">
        <v>96</v>
      </c>
      <c r="H22" s="4" t="s">
        <v>97</v>
      </c>
      <c r="I22" s="3" t="s">
        <v>97</v>
      </c>
      <c r="J22" s="4"/>
      <c r="K22" s="4"/>
      <c r="L22" s="12">
        <v>0</v>
      </c>
      <c r="M22" s="9"/>
      <c r="N22" s="12">
        <v>0</v>
      </c>
      <c r="O22" s="3" t="s">
        <v>80</v>
      </c>
      <c r="P22" s="3"/>
      <c r="Q22" s="3" t="s">
        <v>81</v>
      </c>
    </row>
    <row r="23" spans="1:17" ht="52" customHeight="1">
      <c r="A23" s="2" t="s">
        <v>82</v>
      </c>
      <c r="B23" s="10">
        <v>2</v>
      </c>
      <c r="C23" s="5">
        <v>0</v>
      </c>
      <c r="D23" s="6">
        <f t="shared" si="0"/>
        <v>0</v>
      </c>
      <c r="E23" s="2" t="s">
        <v>41</v>
      </c>
      <c r="F23" s="2" t="s">
        <v>115</v>
      </c>
      <c r="G23" s="4" t="s">
        <v>96</v>
      </c>
      <c r="H23" s="4" t="s">
        <v>97</v>
      </c>
      <c r="I23" s="2" t="s">
        <v>97</v>
      </c>
      <c r="J23" s="4"/>
      <c r="K23" s="4"/>
      <c r="L23" s="12">
        <v>0</v>
      </c>
      <c r="M23" s="9"/>
      <c r="N23" s="12">
        <v>0</v>
      </c>
      <c r="O23" s="2" t="s">
        <v>109</v>
      </c>
      <c r="P23" s="2"/>
      <c r="Q23" s="2" t="s">
        <v>83</v>
      </c>
    </row>
    <row r="24" spans="1:17" ht="52" customHeight="1">
      <c r="A24" s="3" t="s">
        <v>84</v>
      </c>
      <c r="B24" s="11">
        <v>2</v>
      </c>
      <c r="C24" s="5">
        <v>0</v>
      </c>
      <c r="D24" s="7">
        <f>IF(ISNUMBER(C24),B24*C24,"")</f>
        <v>0</v>
      </c>
      <c r="E24" s="3" t="s">
        <v>41</v>
      </c>
      <c r="F24" s="3" t="s">
        <v>116</v>
      </c>
      <c r="G24" s="4" t="s">
        <v>96</v>
      </c>
      <c r="H24" s="4" t="s">
        <v>97</v>
      </c>
      <c r="I24" s="3" t="s">
        <v>97</v>
      </c>
      <c r="J24" s="4"/>
      <c r="K24" s="4"/>
      <c r="L24" s="12">
        <v>0</v>
      </c>
      <c r="M24" s="9"/>
      <c r="N24" s="12">
        <v>0</v>
      </c>
      <c r="O24" s="3" t="s">
        <v>85</v>
      </c>
      <c r="P24" s="3"/>
      <c r="Q24" s="3" t="s">
        <v>86</v>
      </c>
    </row>
    <row r="25" spans="1:17" ht="52" customHeight="1">
      <c r="A25" s="2" t="s">
        <v>87</v>
      </c>
      <c r="B25" s="10">
        <v>10</v>
      </c>
      <c r="C25" s="5">
        <v>0.26300000000000001</v>
      </c>
      <c r="D25" s="6">
        <f>IF(ISNUMBER(C25),B25*C25,"")</f>
        <v>2.63</v>
      </c>
      <c r="E25" s="2" t="s">
        <v>41</v>
      </c>
      <c r="F25" s="2" t="s">
        <v>117</v>
      </c>
      <c r="G25" s="4" t="s">
        <v>98</v>
      </c>
      <c r="H25" s="4" t="s">
        <v>107</v>
      </c>
      <c r="I25" s="2" t="s">
        <v>97</v>
      </c>
      <c r="J25" s="4"/>
      <c r="K25" s="4"/>
      <c r="L25" s="12">
        <v>0</v>
      </c>
      <c r="M25" s="9"/>
      <c r="N25" s="12">
        <v>0</v>
      </c>
      <c r="O25" s="2" t="s">
        <v>88</v>
      </c>
      <c r="P25" s="2"/>
      <c r="Q25" s="2" t="s">
        <v>89</v>
      </c>
    </row>
    <row r="26" spans="1:17" ht="52" customHeight="1">
      <c r="A26" s="3" t="s">
        <v>90</v>
      </c>
      <c r="B26" s="11">
        <v>1</v>
      </c>
      <c r="C26" s="5">
        <v>0</v>
      </c>
      <c r="D26" s="7">
        <f t="shared" si="0"/>
        <v>0</v>
      </c>
      <c r="E26" s="3" t="s">
        <v>91</v>
      </c>
      <c r="F26" s="3" t="s">
        <v>113</v>
      </c>
      <c r="G26" s="4" t="s">
        <v>96</v>
      </c>
      <c r="H26" s="4" t="s">
        <v>97</v>
      </c>
      <c r="I26" s="3" t="s">
        <v>97</v>
      </c>
      <c r="J26" s="4"/>
      <c r="K26" s="4"/>
      <c r="L26" s="12">
        <v>0</v>
      </c>
      <c r="M26" s="9"/>
      <c r="N26" s="12">
        <v>0</v>
      </c>
      <c r="O26" s="3" t="s">
        <v>92</v>
      </c>
      <c r="P26" s="3"/>
      <c r="Q26" s="3" t="s">
        <v>93</v>
      </c>
    </row>
    <row r="27" spans="1:17">
      <c r="C27" s="8"/>
      <c r="D27" s="8"/>
    </row>
    <row r="28" spans="1:17" ht="30" customHeight="1">
      <c r="A28" s="17" t="s">
        <v>94</v>
      </c>
      <c r="B28" s="17"/>
      <c r="C28" s="18"/>
      <c r="D28" s="13">
        <f>IF(COUNT(C7:C26)=0,"",SUM(D7:D26))</f>
        <v>43.11</v>
      </c>
      <c r="E28" s="17" t="s">
        <v>95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</sheetData>
  <mergeCells count="5">
    <mergeCell ref="A1:Q2"/>
    <mergeCell ref="A3:Q3"/>
    <mergeCell ref="A4:Q4"/>
    <mergeCell ref="A28:C28"/>
    <mergeCell ref="E28:Q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Bubbaman2001 Laskowski</cp:lastModifiedBy>
  <dcterms:created xsi:type="dcterms:W3CDTF">2026-10-31T02:30:18Z</dcterms:created>
  <dcterms:modified xsi:type="dcterms:W3CDTF">2026-10-31T02:30:18Z</dcterms:modified>
</cp:coreProperties>
</file>